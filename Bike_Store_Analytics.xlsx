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cimma\Desktop\"/>
    </mc:Choice>
  </mc:AlternateContent>
  <xr:revisionPtr revIDLastSave="0" documentId="13_ncr:1_{96317CCC-EE7D-40E2-AC89-917396A1095A}" xr6:coauthVersionLast="47" xr6:coauthVersionMax="47" xr10:uidLastSave="{00000000-0000-0000-0000-000000000000}"/>
  <bookViews>
    <workbookView xWindow="-120" yWindow="-120" windowWidth="20730" windowHeight="11040" activeTab="2" xr2:uid="{81B348B0-BDF6-4B9A-875E-11518B39012C}"/>
  </bookViews>
  <sheets>
    <sheet name="Products" sheetId="1" r:id="rId1"/>
    <sheet name="Brands" sheetId="2" r:id="rId2"/>
    <sheet name="Search_Tool" sheetId="3" r:id="rId3"/>
    <sheet name="Dashboard" sheetId="4" r:id="rId4"/>
  </sheets>
  <definedNames>
    <definedName name="_xlnm._FilterDatabase" localSheetId="0" hidden="1">Products!$A$1:$G$322</definedName>
    <definedName name="Slicer_model_year">#N/A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3" l="1"/>
  <c r="B6" i="3" s="1"/>
  <c r="D3" i="3"/>
  <c r="C3" i="3"/>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2" i="1"/>
</calcChain>
</file>

<file path=xl/sharedStrings.xml><?xml version="1.0" encoding="utf-8"?>
<sst xmlns="http://schemas.openxmlformats.org/spreadsheetml/2006/main" count="370" uniqueCount="293">
  <si>
    <t>product_id</t>
  </si>
  <si>
    <t>product_name</t>
  </si>
  <si>
    <t>brand_id</t>
  </si>
  <si>
    <t>category_id</t>
  </si>
  <si>
    <t>model_year</t>
  </si>
  <si>
    <t>list_price</t>
  </si>
  <si>
    <t>brand_name</t>
  </si>
  <si>
    <t>Electra</t>
  </si>
  <si>
    <t>Haro</t>
  </si>
  <si>
    <t>Heller</t>
  </si>
  <si>
    <t>Pure Cycles</t>
  </si>
  <si>
    <t>Ritchey</t>
  </si>
  <si>
    <t>Strider</t>
  </si>
  <si>
    <t>Sun Bicycles</t>
  </si>
  <si>
    <t>Surly</t>
  </si>
  <si>
    <t>Trek</t>
  </si>
  <si>
    <t>Electra Cruiser 1 (24</t>
  </si>
  <si>
    <t>Electra Girl's Hawaii 1 (16</t>
  </si>
  <si>
    <t>Pure Cycles Vine 8</t>
  </si>
  <si>
    <t>Pure Cycles Western 3</t>
  </si>
  <si>
    <t>Pure Cycles William 3</t>
  </si>
  <si>
    <t>Electra Girl's Hawaii 1 (20</t>
  </si>
  <si>
    <t>Trek X</t>
  </si>
  <si>
    <t>Sun Bicycles Lil Bolt Type</t>
  </si>
  <si>
    <t>Sun Bicycles Atlas X</t>
  </si>
  <si>
    <t>Sun Bicycles Boardwalk (24</t>
  </si>
  <si>
    <t>Trek Precaliber 24 (21</t>
  </si>
  <si>
    <t>Electra Moto 3i (20</t>
  </si>
  <si>
    <t>Electra Savannah 3i (20</t>
  </si>
  <si>
    <t>Electra Straight 8 3i (20</t>
  </si>
  <si>
    <t>Electra Sugar Skulls 1 (20</t>
  </si>
  <si>
    <t>Electra Townie 3i EQ (20</t>
  </si>
  <si>
    <t>Electra Townie 7D (20</t>
  </si>
  <si>
    <t>Electra Cruiser 7D (24</t>
  </si>
  <si>
    <t>Trek Precaliber 20 6</t>
  </si>
  <si>
    <t>Trek Precaliber 24 (7</t>
  </si>
  <si>
    <t>Trek Precaliber 24 21</t>
  </si>
  <si>
    <t>Trek Precaliber 24 7</t>
  </si>
  <si>
    <t>Electra Cyclosaurus 1 (16</t>
  </si>
  <si>
    <t>Electra Heartchya 1 (20</t>
  </si>
  <si>
    <t>Electra Savannah 1 (20</t>
  </si>
  <si>
    <t>Electra Soft Serve 1 (16</t>
  </si>
  <si>
    <t>Electra Straight 8 1 (16</t>
  </si>
  <si>
    <t>Electra Straight 8 1 (20</t>
  </si>
  <si>
    <t>Electra Sweet Ride 1 (20</t>
  </si>
  <si>
    <t>Electra Sweet Ride 3i (20</t>
  </si>
  <si>
    <t>Electra Tiger Shark 1 (20</t>
  </si>
  <si>
    <t>Electra Tiger Shark 3i (20</t>
  </si>
  <si>
    <t>Electra Under</t>
  </si>
  <si>
    <t>Electra Water Lily 1 (16</t>
  </si>
  <si>
    <t>Trek 820</t>
  </si>
  <si>
    <t>Ritchey Timberwolf Frameset</t>
  </si>
  <si>
    <t>Surly Wednesday Frameset</t>
  </si>
  <si>
    <t>Trek Fuel EX 8 29</t>
  </si>
  <si>
    <t>Heller Shagamaw Frame</t>
  </si>
  <si>
    <t>Surly Ice Cream Truck Frameset</t>
  </si>
  <si>
    <t>Trek Slash 8 27.5</t>
  </si>
  <si>
    <t>Trek Remedy 29 Carbon Frameset</t>
  </si>
  <si>
    <t>Trek Conduit+</t>
  </si>
  <si>
    <t>Surly Straggler</t>
  </si>
  <si>
    <t>Surly Straggler 650b</t>
  </si>
  <si>
    <t>Electra Townie Original 21D</t>
  </si>
  <si>
    <t>Electra Moto 1</t>
  </si>
  <si>
    <t>Electra Townie Original 7D EQ</t>
  </si>
  <si>
    <t>Electra Townie Original 7D</t>
  </si>
  <si>
    <t>Surly Big Dummy Frameset</t>
  </si>
  <si>
    <t>Surly Karate Monkey 27.5+ Frameset</t>
  </si>
  <si>
    <t>Surly Wednesday</t>
  </si>
  <si>
    <t>Trek Farley Alloy Frameset</t>
  </si>
  <si>
    <t>Trek Session DH 27.5 Carbon Frameset</t>
  </si>
  <si>
    <t>Sun Bicycles Spider 3i</t>
  </si>
  <si>
    <t>Surly Troll Frameset</t>
  </si>
  <si>
    <t>Haro Flightline One ST</t>
  </si>
  <si>
    <t>Haro Flightline Two 26 Plus</t>
  </si>
  <si>
    <t>Trek Stache 5</t>
  </si>
  <si>
    <t>Trek Fuel EX 9.8 29</t>
  </si>
  <si>
    <t>Haro Shift R3</t>
  </si>
  <si>
    <t>Trek Fuel EX 5 27.5 Plus</t>
  </si>
  <si>
    <t>Trek Fuel EX 9.8 27.5 Plus</t>
  </si>
  <si>
    <t>Haro SR 1.1</t>
  </si>
  <si>
    <t>Haro SR 1.2</t>
  </si>
  <si>
    <t>Haro SR 1.3</t>
  </si>
  <si>
    <t>Trek Remedy 9.8</t>
  </si>
  <si>
    <t>Trek Emonda S 4</t>
  </si>
  <si>
    <t>Trek Domane SL 6</t>
  </si>
  <si>
    <t>Trek Silque SLR 7 Women's</t>
  </si>
  <si>
    <t>Trek Silque SLR 8 Women's</t>
  </si>
  <si>
    <t>Surly Steamroller</t>
  </si>
  <si>
    <t>Surly Ogre Frameset</t>
  </si>
  <si>
    <t>Trek Domane SL Disc Frameset</t>
  </si>
  <si>
    <t>Trek Domane S 6</t>
  </si>
  <si>
    <t>Trek Domane SLR 6 Disc</t>
  </si>
  <si>
    <t>Trek Emonda S 5</t>
  </si>
  <si>
    <t>Trek Madone 9.2</t>
  </si>
  <si>
    <t>Trek Domane S 5 Disc</t>
  </si>
  <si>
    <t>Sun Bicycles ElectroLite</t>
  </si>
  <si>
    <t>Trek Powerfly 8 FS Plus</t>
  </si>
  <si>
    <t>Trek Boone 7</t>
  </si>
  <si>
    <t>Trek Boone Race Shop Limited</t>
  </si>
  <si>
    <t>Sun Bicycles Revolutions 24</t>
  </si>
  <si>
    <t>Sun Bicycles Cruz 3</t>
  </si>
  <si>
    <t>Sun Bicycles Cruz 7</t>
  </si>
  <si>
    <t>Electra Amsterdam Original 3i</t>
  </si>
  <si>
    <t>Sun Bicycles Biscayne Tandem 7</t>
  </si>
  <si>
    <t>Sun Bicycles Brickell Tandem 7</t>
  </si>
  <si>
    <t>Electra Cruiser Lux 1</t>
  </si>
  <si>
    <t>Electra Cruiser Lux Fat Tire 1 Ladies</t>
  </si>
  <si>
    <t>Electra Girl's Hawaii 1 16"</t>
  </si>
  <si>
    <t>Electra Glam Punk 3i Ladies'</t>
  </si>
  <si>
    <t>Sun Bicycles Biscayne Tandem CB</t>
  </si>
  <si>
    <t>Sun Bicycles Brickell Tandem CB</t>
  </si>
  <si>
    <t>Electra Amsterdam Fashion 7i Ladies'</t>
  </si>
  <si>
    <t>Electra Amsterdam Original 3i Ladies'</t>
  </si>
  <si>
    <t>Trek Boy's Kickster</t>
  </si>
  <si>
    <t>Sun Bicycles Lil Kitt'n</t>
  </si>
  <si>
    <t>Haro Downtown 16</t>
  </si>
  <si>
    <t>Trek Girl's Kickster</t>
  </si>
  <si>
    <t>Trek Precaliber 12 Boys</t>
  </si>
  <si>
    <t>Trek Precaliber 12 Girls</t>
  </si>
  <si>
    <t>Trek Precaliber 16 Boys</t>
  </si>
  <si>
    <t>Trek Precaliber 16 Girls</t>
  </si>
  <si>
    <t>Haro Shredder 20</t>
  </si>
  <si>
    <t>Haro Shredder 20 Girls</t>
  </si>
  <si>
    <t>Haro Shredder Pro 20</t>
  </si>
  <si>
    <t>Sun Bicycles Streamway 3</t>
  </si>
  <si>
    <t>Sun Bicycles Streamway</t>
  </si>
  <si>
    <t>Sun Bicycles Streamway 7</t>
  </si>
  <si>
    <t>Sun Bicycles Drifter 7</t>
  </si>
  <si>
    <t>Trek Marlin 5</t>
  </si>
  <si>
    <t>Trek Marlin 6</t>
  </si>
  <si>
    <t>Trek Marlin 7</t>
  </si>
  <si>
    <t>Trek Ticket S Frame</t>
  </si>
  <si>
    <t>Trek Kids' Neko</t>
  </si>
  <si>
    <t>Trek Fuel EX 7 29</t>
  </si>
  <si>
    <t>Surly Krampus Frameset</t>
  </si>
  <si>
    <t>Trek Farley Carbon Frameset</t>
  </si>
  <si>
    <t>Surly Krampus</t>
  </si>
  <si>
    <t>Trek Kids' Dual Sport</t>
  </si>
  <si>
    <t>Surly Big Fat Dummy Frameset</t>
  </si>
  <si>
    <t>Surly Pack Rat Frameset</t>
  </si>
  <si>
    <t>Surly ECR 27.5</t>
  </si>
  <si>
    <t>Trek Stache Carbon Frameset</t>
  </si>
  <si>
    <t>Heller Bloodhound Trail</t>
  </si>
  <si>
    <t>Trek Procal AL Frameset</t>
  </si>
  <si>
    <t>Trek Procaliber Frameset</t>
  </si>
  <si>
    <t>Trek Remedy 27.5 C Frameset</t>
  </si>
  <si>
    <t>Trek Procaliber 6</t>
  </si>
  <si>
    <t>Heller Shagamaw GX1</t>
  </si>
  <si>
    <t>Trek Fuel EX 5 Plus</t>
  </si>
  <si>
    <t>Trek Remedy 7 27.5</t>
  </si>
  <si>
    <t>Trek Remedy 9.8 27.5</t>
  </si>
  <si>
    <t>Trek Fuel EX 8 29 XT</t>
  </si>
  <si>
    <t>Trek Domane ALR 3</t>
  </si>
  <si>
    <t>Trek Domane ALR 4 Disc</t>
  </si>
  <si>
    <t>Trek Domane ALR 5 Disc</t>
  </si>
  <si>
    <t>Trek Domane SLR 6</t>
  </si>
  <si>
    <t>Trek Domane ALR 5 Gravel</t>
  </si>
  <si>
    <t>Trek Domane SL 8 Disc</t>
  </si>
  <si>
    <t>Trek Domane SLR 8 Disc</t>
  </si>
  <si>
    <t>Trek Emonda SL 7</t>
  </si>
  <si>
    <t>Trek Domane ALR 4 Disc Women's</t>
  </si>
  <si>
    <t>Trek Domane SL 5 Disc Women's</t>
  </si>
  <si>
    <t>Trek Domane SL 7 Women's</t>
  </si>
  <si>
    <t>Trek Domane SLR 6 Disc Women's</t>
  </si>
  <si>
    <t>Trek Domane SLR 9 Disc</t>
  </si>
  <si>
    <t>Trek Domane SL Frameset</t>
  </si>
  <si>
    <t>Trek Domane SL Frameset Women's</t>
  </si>
  <si>
    <t>Trek CrossRip 1</t>
  </si>
  <si>
    <t>Trek Emonda ALR 6</t>
  </si>
  <si>
    <t>Trek Emonda SLR 6</t>
  </si>
  <si>
    <t>Surly ECR</t>
  </si>
  <si>
    <t>Trek Emonda SL 6 Disc</t>
  </si>
  <si>
    <t>Surly Pack Rat</t>
  </si>
  <si>
    <t>Trek 1120</t>
  </si>
  <si>
    <t>Trek Domane AL 2 Women's</t>
  </si>
  <si>
    <t>Surly ECR Frameset</t>
  </si>
  <si>
    <t>Trek Emonda SLR 8</t>
  </si>
  <si>
    <t>Trek CrossRip 2</t>
  </si>
  <si>
    <t>Trek Domane ALR Disc Frameset</t>
  </si>
  <si>
    <t>Trek Domane ALR Frameset</t>
  </si>
  <si>
    <t>Trek Domane SLR Disc Frameset</t>
  </si>
  <si>
    <t>Trek Domane SLR Frameset</t>
  </si>
  <si>
    <t>Trek Madone 9 Frameset</t>
  </si>
  <si>
    <t>Trek Domane AL 2</t>
  </si>
  <si>
    <t>Trek Domane AL 3</t>
  </si>
  <si>
    <t>Trek Domane AL 3 Women's</t>
  </si>
  <si>
    <t>Trek Domane SL 5</t>
  </si>
  <si>
    <t>Trek Domane SL 5 Disc</t>
  </si>
  <si>
    <t>Trek Domane SL 5 Women's</t>
  </si>
  <si>
    <t>Trek Domane SL 6 Disc</t>
  </si>
  <si>
    <t>Trek CrossRip+</t>
  </si>
  <si>
    <t>Trek Neko+</t>
  </si>
  <si>
    <t>Trek XM700+ Lowstep</t>
  </si>
  <si>
    <t>Trek Lift+ Lowstep</t>
  </si>
  <si>
    <t>Trek Dual Sport+</t>
  </si>
  <si>
    <t>Electra Loft Go! 8i</t>
  </si>
  <si>
    <t>Electra Townie Go! 8i</t>
  </si>
  <si>
    <t>Trek Lift+</t>
  </si>
  <si>
    <t>Trek XM700+</t>
  </si>
  <si>
    <t>Electra Townie Go! 8i Ladies'</t>
  </si>
  <si>
    <t>Trek Verve+</t>
  </si>
  <si>
    <t>Trek Verve+ Lowstep</t>
  </si>
  <si>
    <t>Electra Townie Commute Go!</t>
  </si>
  <si>
    <t>Electra Townie Commute Go! Ladies'</t>
  </si>
  <si>
    <t>Trek Powerfly 5</t>
  </si>
  <si>
    <t>Trek Powerfly 5 FS</t>
  </si>
  <si>
    <t>Trek Powerfly 5 Women's</t>
  </si>
  <si>
    <t>Trek Powerfly 7 FS</t>
  </si>
  <si>
    <t>Trek Super Commuter+ 7</t>
  </si>
  <si>
    <t>Trek Super Commuter+ 8S</t>
  </si>
  <si>
    <t>Trek Boone 5 Disc</t>
  </si>
  <si>
    <t>Trek Boone 7 Disc</t>
  </si>
  <si>
    <t>Trek Crockett 5 Disc</t>
  </si>
  <si>
    <t>Trek Crockett 7 Disc</t>
  </si>
  <si>
    <t>Electra Cruiser 1</t>
  </si>
  <si>
    <t>Electra Tiger Shark 3i</t>
  </si>
  <si>
    <t>Electra Queen of Hearts 3i</t>
  </si>
  <si>
    <t>Electra Super Moto 8i</t>
  </si>
  <si>
    <t>Electra Straight 8 3i</t>
  </si>
  <si>
    <t>Electra Cruiser 7D</t>
  </si>
  <si>
    <t>Electra Moto 3i</t>
  </si>
  <si>
    <t>Electra Cruiser 1 Ladies'</t>
  </si>
  <si>
    <t>Electra Cruiser 7D Ladies'</t>
  </si>
  <si>
    <t>Electra Cruiser 1 Tall</t>
  </si>
  <si>
    <t>Electra Cruiser Lux 3i</t>
  </si>
  <si>
    <t>Electra Cruiser Lux 7D</t>
  </si>
  <si>
    <t>Electra Delivery 3i</t>
  </si>
  <si>
    <t>Electra Townie Original 21D EQ</t>
  </si>
  <si>
    <t>Electra Cruiser 7D Tall</t>
  </si>
  <si>
    <t>Electra Cruiser Lux 1 Ladies'</t>
  </si>
  <si>
    <t>Electra Cruiser Lux 3i Ladies'</t>
  </si>
  <si>
    <t>Electra Cruiser Lux 7D Ladies'</t>
  </si>
  <si>
    <t>Electra Cruiser Lux Fat Tire 7D</t>
  </si>
  <si>
    <t>Electra Daydreamer 3i Ladies'</t>
  </si>
  <si>
    <t>Electra Koa 3i Ladies'</t>
  </si>
  <si>
    <t>Electra Morningstar 3i Ladies'</t>
  </si>
  <si>
    <t>Electra Relic 3i</t>
  </si>
  <si>
    <t>Electra Townie Balloon 8D EQ</t>
  </si>
  <si>
    <t>Electra Townie Balloon 8D EQ Ladies'</t>
  </si>
  <si>
    <t>Electra Townie Commute 27D Ladies</t>
  </si>
  <si>
    <t>Electra Townie Commute 8D</t>
  </si>
  <si>
    <t>Electra Townie Commute 8D Ladies'</t>
  </si>
  <si>
    <t>Electra Townie Original 21D EQ Ladies'</t>
  </si>
  <si>
    <t>Electra Townie Original 21D Ladies'</t>
  </si>
  <si>
    <t>Electra Townie Original 3i EQ</t>
  </si>
  <si>
    <t>Electra Townie Original 3i EQ Ladies'</t>
  </si>
  <si>
    <t>Electra Townie Original 7D EQ Ladies'</t>
  </si>
  <si>
    <t>Electra White Water 3i</t>
  </si>
  <si>
    <t>Electra Townie Balloon 3i EQ</t>
  </si>
  <si>
    <t>Electra Townie Balloon 7i EQ Ladies'</t>
  </si>
  <si>
    <t>Electra Townie Commute 27D</t>
  </si>
  <si>
    <t>Electra Amsterdam Fashion 3i Ladies'</t>
  </si>
  <si>
    <t>Electra Amsterdam Royal 8i</t>
  </si>
  <si>
    <t>Electra Amsterdam Royal 8i Ladies</t>
  </si>
  <si>
    <t>Electra Townie Balloon 3i EQ Ladies'</t>
  </si>
  <si>
    <t>Electra Townie Balloon 7i EQ</t>
  </si>
  <si>
    <t>Trek MT 201</t>
  </si>
  <si>
    <t>Strider Classic 12 Balance Bike</t>
  </si>
  <si>
    <t>Strider Sport 16</t>
  </si>
  <si>
    <t>Strider Strider 20 Sport</t>
  </si>
  <si>
    <t>Trek Superfly 20</t>
  </si>
  <si>
    <t>Trek Precaliber 12 Girl's</t>
  </si>
  <si>
    <t>Trek Kickster</t>
  </si>
  <si>
    <t>Trek Precaliber 12 Boy's</t>
  </si>
  <si>
    <t>Trek Precaliber 16 Boy's</t>
  </si>
  <si>
    <t>Trek Precaliber 16 Girl's</t>
  </si>
  <si>
    <t>Trek Precaliber 20 Boy's</t>
  </si>
  <si>
    <t>Trek Precaliber 20 Girl's</t>
  </si>
  <si>
    <t>Trek Superfly 24</t>
  </si>
  <si>
    <t>Electra Starship 1 16"</t>
  </si>
  <si>
    <t>Electra Superbolt 1 20"</t>
  </si>
  <si>
    <t>Electra Superbolt 3i 20"</t>
  </si>
  <si>
    <t>Electra Treasure 1 20"</t>
  </si>
  <si>
    <t>Electra Treasure 3i 20"</t>
  </si>
  <si>
    <t>Electra Townie Original 1</t>
  </si>
  <si>
    <t>Electra Townie Original 1 Ladies'</t>
  </si>
  <si>
    <t>Trek Checkpoint ALR 4 Women's</t>
  </si>
  <si>
    <t>Trek Checkpoint ALR 5</t>
  </si>
  <si>
    <t>Trek Checkpoint ALR 5 Women's</t>
  </si>
  <si>
    <t>Trek Checkpoint SL 5 Women's</t>
  </si>
  <si>
    <t>Trek Checkpoint SL 6</t>
  </si>
  <si>
    <t>Trek Checkpoint ALR Frameset</t>
  </si>
  <si>
    <t>Price</t>
  </si>
  <si>
    <t>Brand</t>
  </si>
  <si>
    <t>Model Year</t>
  </si>
  <si>
    <t>Product Name</t>
  </si>
  <si>
    <t>BIKE SEARCH TOOL</t>
  </si>
  <si>
    <t>Quantity</t>
  </si>
  <si>
    <t>Total Amount</t>
  </si>
  <si>
    <t>Row Labels</t>
  </si>
  <si>
    <t>Grand Total</t>
  </si>
  <si>
    <t>Number of products</t>
  </si>
  <si>
    <t>Average of list_price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</si>
</sst>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409]#,##0.00_ ;[Red]\-[$$-409]#,##0.00\ "/>
  </numFmts>
  <fonts count="5">
    <font>
      <sz val="11"/>
      <color theme="1"/>
      <name val="Calibri"/>
      <family val="2"/>
      <scheme val="minor"/>
    </font>
    <font>
      <sz val="10"/>
      <color theme="1"/>
      <name val="Arial Unicode MS"/>
    </font>
    <font>
      <b/>
      <sz val="11"/>
      <color theme="1"/>
      <name val="Calibri"/>
      <family val="2"/>
      <scheme val="minor"/>
    </font>
    <font>
      <sz val="8"/>
      <name val="Calibri"/>
      <family val="2"/>
      <scheme val="minor"/>
    </font>
    <font>
      <b/>
      <sz val="16"/>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xf>
    <xf numFmtId="9" fontId="0" fillId="0" borderId="0" xfId="0" applyNumberFormat="1"/>
    <xf numFmtId="8" fontId="0" fillId="0" borderId="0" xfId="0" applyNumberFormat="1"/>
    <xf numFmtId="0" fontId="0" fillId="0" borderId="1" xfId="0" applyBorder="1"/>
    <xf numFmtId="0" fontId="2" fillId="0" borderId="0" xfId="0" applyFont="1"/>
    <xf numFmtId="164" fontId="0" fillId="0" borderId="0" xfId="0" applyNumberFormat="1"/>
    <xf numFmtId="0" fontId="1" fillId="0" borderId="1" xfId="0" applyFont="1" applyBorder="1" applyAlignment="1">
      <alignment vertical="center"/>
    </xf>
    <xf numFmtId="16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right"/>
    </xf>
    <xf numFmtId="164" fontId="1" fillId="0" borderId="1" xfId="0" applyNumberFormat="1" applyFont="1" applyBorder="1" applyAlignment="1">
      <alignment vertical="center"/>
    </xf>
    <xf numFmtId="0" fontId="4" fillId="2" borderId="1" xfId="0" applyFont="1" applyFill="1" applyBorder="1" applyAlignment="1">
      <alignment horizontal="center"/>
    </xf>
    <xf numFmtId="0" fontId="0" fillId="3" borderId="1" xfId="0" applyFill="1" applyBorder="1" applyProtection="1">
      <protection locked="0"/>
    </xf>
  </cellXfs>
  <cellStyles count="1">
    <cellStyle name="Normal" xfId="0" builtinId="0"/>
  </cellStyles>
  <dxfs count="46">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2" formatCode="&quot;₹&quot;\ #,##0.00;[Red]&quot;₹&quot;\ \-#,##0.00"/>
    </dxf>
    <dxf>
      <numFmt numFmtId="164" formatCode="[$$-409]#,##0.00_ ;[Red]\-[$$-409]#,##0.00\ "/>
    </dxf>
    <dxf>
      <numFmt numFmtId="164" formatCode="[$$-409]#,##0.00_ ;[Red]\-[$$-409]#,##0.00\ "/>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Sample Database.xlsx]Dashboard!PivotTable3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Dashboard!$B$13</c:f>
              <c:strCache>
                <c:ptCount val="1"/>
                <c:pt idx="0">
                  <c:v>Total</c:v>
                </c:pt>
              </c:strCache>
            </c:strRef>
          </c:tx>
          <c:spPr>
            <a:solidFill>
              <a:schemeClr val="accent1"/>
            </a:solidFill>
            <a:ln>
              <a:noFill/>
            </a:ln>
            <a:effectLst/>
          </c:spPr>
          <c:invertIfNegative val="0"/>
          <c:cat>
            <c:strRef>
              <c:f>Dashboard!$A$14:$A$23</c:f>
              <c:strCache>
                <c:ptCount val="9"/>
                <c:pt idx="0">
                  <c:v>Trek</c:v>
                </c:pt>
                <c:pt idx="1">
                  <c:v>Heller</c:v>
                </c:pt>
                <c:pt idx="2">
                  <c:v>Surly</c:v>
                </c:pt>
                <c:pt idx="3">
                  <c:v>Electra</c:v>
                </c:pt>
                <c:pt idx="4">
                  <c:v>Ritchey</c:v>
                </c:pt>
                <c:pt idx="5">
                  <c:v>Haro</c:v>
                </c:pt>
                <c:pt idx="6">
                  <c:v>Sun Bicycles</c:v>
                </c:pt>
                <c:pt idx="7">
                  <c:v>Pure Cycles</c:v>
                </c:pt>
                <c:pt idx="8">
                  <c:v>Strider</c:v>
                </c:pt>
              </c:strCache>
            </c:strRef>
          </c:cat>
          <c:val>
            <c:numRef>
              <c:f>Dashboard!$B$14:$B$23</c:f>
              <c:numCache>
                <c:formatCode>[$$-409]#,##0.00_ ;[Red]\-[$$-409]#,##0.00\ </c:formatCode>
                <c:ptCount val="9"/>
                <c:pt idx="0">
                  <c:v>2500.0640740740705</c:v>
                </c:pt>
                <c:pt idx="1">
                  <c:v>2172.9966666666664</c:v>
                </c:pt>
                <c:pt idx="2">
                  <c:v>1331.7536000000002</c:v>
                </c:pt>
                <c:pt idx="3">
                  <c:v>761.00618644067902</c:v>
                </c:pt>
                <c:pt idx="4">
                  <c:v>749.99</c:v>
                </c:pt>
                <c:pt idx="5">
                  <c:v>621.9899999999999</c:v>
                </c:pt>
                <c:pt idx="6">
                  <c:v>524.46826086956503</c:v>
                </c:pt>
                <c:pt idx="7">
                  <c:v>442.33333333333331</c:v>
                </c:pt>
                <c:pt idx="8">
                  <c:v>209.99</c:v>
                </c:pt>
              </c:numCache>
            </c:numRef>
          </c:val>
          <c:extLst>
            <c:ext xmlns:c16="http://schemas.microsoft.com/office/drawing/2014/chart" uri="{C3380CC4-5D6E-409C-BE32-E72D297353CC}">
              <c16:uniqueId val="{00000000-58D6-4734-A03C-6D14361A6763}"/>
            </c:ext>
          </c:extLst>
        </c:ser>
        <c:dLbls>
          <c:showLegendKey val="0"/>
          <c:showVal val="0"/>
          <c:showCatName val="0"/>
          <c:showSerName val="0"/>
          <c:showPercent val="0"/>
          <c:showBubbleSize val="0"/>
        </c:dLbls>
        <c:gapWidth val="219"/>
        <c:overlap val="-27"/>
        <c:axId val="158216384"/>
        <c:axId val="152734160"/>
      </c:barChart>
      <c:catAx>
        <c:axId val="15821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34160"/>
        <c:crosses val="autoZero"/>
        <c:auto val="1"/>
        <c:lblAlgn val="ctr"/>
        <c:lblOffset val="100"/>
        <c:noMultiLvlLbl val="0"/>
      </c:catAx>
      <c:valAx>
        <c:axId val="152734160"/>
        <c:scaling>
          <c:orientation val="minMax"/>
        </c:scaling>
        <c:delete val="0"/>
        <c:axPos val="l"/>
        <c:majorGridlines>
          <c:spPr>
            <a:ln w="9525" cap="flat" cmpd="sng" algn="ctr">
              <a:solidFill>
                <a:schemeClr val="tx1">
                  <a:lumMod val="15000"/>
                  <a:lumOff val="85000"/>
                </a:schemeClr>
              </a:solidFill>
              <a:round/>
            </a:ln>
            <a:effectLst/>
          </c:spPr>
        </c:majorGridlines>
        <c:numFmt formatCode="[$$-409]#,##0.00_ ;[Red]\-[$$-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1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Sample Database.xlsx]Dashboard!PivotTable1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Products per Brand</a:t>
            </a:r>
            <a:r>
              <a:rPr lang="en-IN" sz="1400" b="0" i="0" u="none" strike="noStrike" kern="1200" spc="0" baseline="0">
                <a:solidFill>
                  <a:sysClr val="windowText" lastClr="000000">
                    <a:lumMod val="65000"/>
                    <a:lumOff val="35000"/>
                  </a:sysClr>
                </a:solidFill>
              </a:rPr>
              <a:t>.</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Dashboard!$A$2:$A$11</c:f>
              <c:strCache>
                <c:ptCount val="9"/>
                <c:pt idx="0">
                  <c:v>Trek</c:v>
                </c:pt>
                <c:pt idx="1">
                  <c:v>Electra</c:v>
                </c:pt>
                <c:pt idx="2">
                  <c:v>Surly</c:v>
                </c:pt>
                <c:pt idx="3">
                  <c:v>Sun Bicycles</c:v>
                </c:pt>
                <c:pt idx="4">
                  <c:v>Haro</c:v>
                </c:pt>
                <c:pt idx="5">
                  <c:v>Strider</c:v>
                </c:pt>
                <c:pt idx="6">
                  <c:v>Heller</c:v>
                </c:pt>
                <c:pt idx="7">
                  <c:v>Pure Cycles</c:v>
                </c:pt>
                <c:pt idx="8">
                  <c:v>Ritchey</c:v>
                </c:pt>
              </c:strCache>
            </c:strRef>
          </c:cat>
          <c:val>
            <c:numRef>
              <c:f>Dashboard!$B$2:$B$11</c:f>
              <c:numCache>
                <c:formatCode>General</c:formatCode>
                <c:ptCount val="9"/>
                <c:pt idx="0">
                  <c:v>135</c:v>
                </c:pt>
                <c:pt idx="1">
                  <c:v>118</c:v>
                </c:pt>
                <c:pt idx="2">
                  <c:v>25</c:v>
                </c:pt>
                <c:pt idx="3">
                  <c:v>23</c:v>
                </c:pt>
                <c:pt idx="4">
                  <c:v>10</c:v>
                </c:pt>
                <c:pt idx="5">
                  <c:v>3</c:v>
                </c:pt>
                <c:pt idx="6">
                  <c:v>3</c:v>
                </c:pt>
                <c:pt idx="7">
                  <c:v>3</c:v>
                </c:pt>
                <c:pt idx="8">
                  <c:v>1</c:v>
                </c:pt>
              </c:numCache>
            </c:numRef>
          </c:val>
          <c:extLst>
            <c:ext xmlns:c16="http://schemas.microsoft.com/office/drawing/2014/chart" uri="{C3380CC4-5D6E-409C-BE32-E72D297353CC}">
              <c16:uniqueId val="{00000000-452A-4BC5-AD97-2F6681DF8166}"/>
            </c:ext>
          </c:extLst>
        </c:ser>
        <c:dLbls>
          <c:showLegendKey val="0"/>
          <c:showVal val="0"/>
          <c:showCatName val="0"/>
          <c:showSerName val="0"/>
          <c:showPercent val="0"/>
          <c:showBubbleSize val="0"/>
        </c:dLbls>
        <c:gapWidth val="219"/>
        <c:overlap val="-27"/>
        <c:axId val="931541615"/>
        <c:axId val="961349615"/>
      </c:barChart>
      <c:catAx>
        <c:axId val="9315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49615"/>
        <c:crosses val="autoZero"/>
        <c:auto val="1"/>
        <c:lblAlgn val="ctr"/>
        <c:lblOffset val="100"/>
        <c:noMultiLvlLbl val="0"/>
      </c:catAx>
      <c:valAx>
        <c:axId val="96134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54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590550</xdr:colOff>
      <xdr:row>11</xdr:row>
      <xdr:rowOff>190499</xdr:rowOff>
    </xdr:from>
    <xdr:to>
      <xdr:col>10</xdr:col>
      <xdr:colOff>9525</xdr:colOff>
      <xdr:row>23</xdr:row>
      <xdr:rowOff>128586</xdr:rowOff>
    </xdr:to>
    <xdr:graphicFrame macro="">
      <xdr:nvGraphicFramePr>
        <xdr:cNvPr id="3" name="Chart 2">
          <a:extLst>
            <a:ext uri="{FF2B5EF4-FFF2-40B4-BE49-F238E27FC236}">
              <a16:creationId xmlns:a16="http://schemas.microsoft.com/office/drawing/2014/main" id="{664361D1-2E8C-44C4-AC3D-70B458EE5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4761</xdr:colOff>
      <xdr:row>0</xdr:row>
      <xdr:rowOff>0</xdr:rowOff>
    </xdr:from>
    <xdr:to>
      <xdr:col>10</xdr:col>
      <xdr:colOff>9524</xdr:colOff>
      <xdr:row>10</xdr:row>
      <xdr:rowOff>180975</xdr:rowOff>
    </xdr:to>
    <xdr:graphicFrame macro="">
      <xdr:nvGraphicFramePr>
        <xdr:cNvPr id="4" name="Chart 3">
          <a:extLst>
            <a:ext uri="{FF2B5EF4-FFF2-40B4-BE49-F238E27FC236}">
              <a16:creationId xmlns:a16="http://schemas.microsoft.com/office/drawing/2014/main" id="{97FFA502-67DF-1B12-D204-A77B6DF63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542925</xdr:colOff>
      <xdr:row>0</xdr:row>
      <xdr:rowOff>1</xdr:rowOff>
    </xdr:from>
    <xdr:to>
      <xdr:col>13</xdr:col>
      <xdr:colOff>542925</xdr:colOff>
      <xdr:row>7</xdr:row>
      <xdr:rowOff>95250</xdr:rowOff>
    </xdr:to>
    <mc:AlternateContent xmlns:mc="http://schemas.openxmlformats.org/markup-compatibility/2006">
      <mc:Choice xmlns:a14="http://schemas.microsoft.com/office/drawing/2010/main" Requires="a14">
        <xdr:graphicFrame macro="">
          <xdr:nvGraphicFramePr>
            <xdr:cNvPr id="5" name="model_year">
              <a:extLst>
                <a:ext uri="{FF2B5EF4-FFF2-40B4-BE49-F238E27FC236}">
                  <a16:creationId xmlns:a16="http://schemas.microsoft.com/office/drawing/2014/main" id="{9F6177B3-EA72-6DD4-2CBF-9A9789412539}"/>
                </a:ext>
              </a:extLst>
            </xdr:cNvPr>
            <xdr:cNvGraphicFramePr/>
          </xdr:nvGraphicFramePr>
          <xdr:xfrm>
            <a:off x="0" y="0"/>
            <a:ext cx="0" cy="0"/>
          </xdr:xfrm>
          <a:graphic>
            <a:graphicData uri="http://schemas.microsoft.com/office/drawing/2010/slicer">
              <sle:slicer xmlns:sle="http://schemas.microsoft.com/office/drawing/2010/slicer" name="model_year"/>
            </a:graphicData>
          </a:graphic>
        </xdr:graphicFrame>
      </mc:Choice>
      <mc:Fallback>
        <xdr:sp macro="" textlink="">
          <xdr:nvSpPr>
            <xdr:cNvPr id="0" name=""/>
            <xdr:cNvSpPr>
              <a:spLocks noTextEdit="1"/>
            </xdr:cNvSpPr>
          </xdr:nvSpPr>
          <xdr:spPr>
            <a:xfrm>
              <a:off x="7591425" y="1"/>
              <a:ext cx="1828800"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D Immanuel" refreshedDate="45999.963530439818" createdVersion="6" refreshedVersion="6" minRefreshableVersion="3" recordCount="321" xr:uid="{D221A505-11F7-473F-ACA2-47986F02A91D}">
  <cacheSource type="worksheet">
    <worksheetSource ref="A1:G322" sheet="Products"/>
  </cacheSource>
  <cacheFields count="7">
    <cacheField name="product_id" numFmtId="0">
      <sharedItems containsSemiMixedTypes="0" containsString="0" containsNumber="1" containsInteger="1" minValue="1" maxValue="321"/>
    </cacheField>
    <cacheField name="product_name" numFmtId="0">
      <sharedItems/>
    </cacheField>
    <cacheField name="brand_id" numFmtId="0">
      <sharedItems containsSemiMixedTypes="0" containsString="0" containsNumber="1" containsInteger="1" minValue="1" maxValue="9"/>
    </cacheField>
    <cacheField name="brand_name" numFmtId="0">
      <sharedItems count="9">
        <s v="Trek"/>
        <s v="Ritchey"/>
        <s v="Surly"/>
        <s v="Heller"/>
        <s v="Electra"/>
        <s v="Pure Cycles"/>
        <s v="Sun Bicycles"/>
        <s v="Haro"/>
        <s v="Strider"/>
      </sharedItems>
    </cacheField>
    <cacheField name="category_id" numFmtId="0">
      <sharedItems containsSemiMixedTypes="0" containsString="0" containsNumber="1" containsInteger="1" minValue="1" maxValue="7"/>
    </cacheField>
    <cacheField name="model_year" numFmtId="0">
      <sharedItems containsSemiMixedTypes="0" containsString="0" containsNumber="1" containsInteger="1" minValue="2016" maxValue="2019" count="4">
        <n v="2016"/>
        <n v="2017"/>
        <n v="2018"/>
        <n v="2019"/>
      </sharedItems>
    </cacheField>
    <cacheField name="list_price" numFmtId="164">
      <sharedItems containsSemiMixedTypes="0" containsString="0" containsNumber="1" minValue="89.99" maxValue="11999.99"/>
    </cacheField>
  </cacheFields>
  <extLst>
    <ext xmlns:x14="http://schemas.microsoft.com/office/spreadsheetml/2009/9/main" uri="{725AE2AE-9491-48be-B2B4-4EB974FC3084}">
      <x14:pivotCacheDefinition pivotCacheId="287288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s v="Trek 820"/>
    <n v="9"/>
    <x v="0"/>
    <n v="6"/>
    <x v="0"/>
    <n v="379.99"/>
  </r>
  <r>
    <n v="2"/>
    <s v="Ritchey Timberwolf Frameset"/>
    <n v="5"/>
    <x v="1"/>
    <n v="6"/>
    <x v="0"/>
    <n v="749.99"/>
  </r>
  <r>
    <n v="3"/>
    <s v="Surly Wednesday Frameset"/>
    <n v="8"/>
    <x v="2"/>
    <n v="6"/>
    <x v="0"/>
    <n v="999.99"/>
  </r>
  <r>
    <n v="4"/>
    <s v="Trek Fuel EX 8 29"/>
    <n v="9"/>
    <x v="0"/>
    <n v="6"/>
    <x v="0"/>
    <n v="2899.99"/>
  </r>
  <r>
    <n v="5"/>
    <s v="Heller Shagamaw Frame"/>
    <n v="3"/>
    <x v="3"/>
    <n v="6"/>
    <x v="0"/>
    <n v="1320.99"/>
  </r>
  <r>
    <n v="6"/>
    <s v="Surly Ice Cream Truck Frameset"/>
    <n v="8"/>
    <x v="2"/>
    <n v="6"/>
    <x v="0"/>
    <n v="469.99"/>
  </r>
  <r>
    <n v="7"/>
    <s v="Trek Slash 8 27.5"/>
    <n v="9"/>
    <x v="0"/>
    <n v="6"/>
    <x v="0"/>
    <n v="3999.99"/>
  </r>
  <r>
    <n v="8"/>
    <s v="Trek Remedy 29 Carbon Frameset"/>
    <n v="9"/>
    <x v="0"/>
    <n v="6"/>
    <x v="0"/>
    <n v="1799.99"/>
  </r>
  <r>
    <n v="9"/>
    <s v="Trek Conduit+"/>
    <n v="9"/>
    <x v="0"/>
    <n v="5"/>
    <x v="0"/>
    <n v="2999.99"/>
  </r>
  <r>
    <n v="10"/>
    <s v="Surly Straggler"/>
    <n v="8"/>
    <x v="2"/>
    <n v="4"/>
    <x v="0"/>
    <n v="1549"/>
  </r>
  <r>
    <n v="11"/>
    <s v="Surly Straggler 650b"/>
    <n v="8"/>
    <x v="2"/>
    <n v="4"/>
    <x v="0"/>
    <n v="1680.99"/>
  </r>
  <r>
    <n v="12"/>
    <s v="Electra Townie Original 21D"/>
    <n v="1"/>
    <x v="4"/>
    <n v="3"/>
    <x v="0"/>
    <n v="549.99"/>
  </r>
  <r>
    <n v="13"/>
    <s v="Electra Cruiser 1 (24"/>
    <n v="1"/>
    <x v="4"/>
    <n v="3"/>
    <x v="0"/>
    <n v="269.99"/>
  </r>
  <r>
    <n v="14"/>
    <s v="Electra Girl's Hawaii 1 (16"/>
    <n v="1"/>
    <x v="4"/>
    <n v="3"/>
    <x v="0"/>
    <n v="269.99"/>
  </r>
  <r>
    <n v="15"/>
    <s v="Electra Moto 1"/>
    <n v="1"/>
    <x v="4"/>
    <n v="3"/>
    <x v="0"/>
    <n v="529.99"/>
  </r>
  <r>
    <n v="16"/>
    <s v="Electra Townie Original 7D EQ"/>
    <n v="1"/>
    <x v="4"/>
    <n v="3"/>
    <x v="0"/>
    <n v="599.99"/>
  </r>
  <r>
    <n v="17"/>
    <s v="Pure Cycles Vine 8"/>
    <n v="4"/>
    <x v="5"/>
    <n v="3"/>
    <x v="0"/>
    <n v="429"/>
  </r>
  <r>
    <n v="18"/>
    <s v="Pure Cycles Western 3"/>
    <n v="4"/>
    <x v="5"/>
    <n v="3"/>
    <x v="0"/>
    <n v="449"/>
  </r>
  <r>
    <n v="19"/>
    <s v="Pure Cycles William 3"/>
    <n v="4"/>
    <x v="5"/>
    <n v="3"/>
    <x v="0"/>
    <n v="449"/>
  </r>
  <r>
    <n v="20"/>
    <s v="Electra Townie Original 7D EQ"/>
    <n v="1"/>
    <x v="4"/>
    <n v="3"/>
    <x v="0"/>
    <n v="599.99"/>
  </r>
  <r>
    <n v="21"/>
    <s v="Electra Cruiser 1 (24"/>
    <n v="1"/>
    <x v="4"/>
    <n v="1"/>
    <x v="0"/>
    <n v="269.99"/>
  </r>
  <r>
    <n v="22"/>
    <s v="Electra Girl's Hawaii 1 (16"/>
    <n v="1"/>
    <x v="4"/>
    <n v="1"/>
    <x v="0"/>
    <n v="269.99"/>
  </r>
  <r>
    <n v="23"/>
    <s v="Electra Girl's Hawaii 1 (20"/>
    <n v="1"/>
    <x v="4"/>
    <n v="1"/>
    <x v="0"/>
    <n v="299.99"/>
  </r>
  <r>
    <n v="24"/>
    <s v="Electra Townie Original 21D"/>
    <n v="1"/>
    <x v="4"/>
    <n v="2"/>
    <x v="0"/>
    <n v="549.99"/>
  </r>
  <r>
    <n v="25"/>
    <s v="Electra Townie Original 7D"/>
    <n v="1"/>
    <x v="4"/>
    <n v="2"/>
    <x v="0"/>
    <n v="499.99"/>
  </r>
  <r>
    <n v="26"/>
    <s v="Electra Townie Original 7D EQ"/>
    <n v="1"/>
    <x v="4"/>
    <n v="2"/>
    <x v="0"/>
    <n v="599.99"/>
  </r>
  <r>
    <n v="27"/>
    <s v="Surly Big Dummy Frameset"/>
    <n v="8"/>
    <x v="2"/>
    <n v="6"/>
    <x v="1"/>
    <n v="999.99"/>
  </r>
  <r>
    <n v="28"/>
    <s v="Surly Karate Monkey 27.5+ Frameset"/>
    <n v="8"/>
    <x v="2"/>
    <n v="6"/>
    <x v="1"/>
    <n v="2499.9899999999998"/>
  </r>
  <r>
    <n v="29"/>
    <s v="Trek X"/>
    <n v="9"/>
    <x v="0"/>
    <n v="6"/>
    <x v="1"/>
    <n v="999.99"/>
  </r>
  <r>
    <n v="30"/>
    <s v="Surly Ice Cream Truck Frameset"/>
    <n v="8"/>
    <x v="2"/>
    <n v="6"/>
    <x v="1"/>
    <n v="999.99"/>
  </r>
  <r>
    <n v="31"/>
    <s v="Surly Wednesday"/>
    <n v="8"/>
    <x v="2"/>
    <n v="6"/>
    <x v="1"/>
    <n v="1632.99"/>
  </r>
  <r>
    <n v="32"/>
    <s v="Trek Farley Alloy Frameset"/>
    <n v="9"/>
    <x v="0"/>
    <n v="6"/>
    <x v="1"/>
    <n v="469.99"/>
  </r>
  <r>
    <n v="33"/>
    <s v="Surly Wednesday Frameset"/>
    <n v="8"/>
    <x v="2"/>
    <n v="6"/>
    <x v="1"/>
    <n v="469.99"/>
  </r>
  <r>
    <n v="34"/>
    <s v="Trek Session DH 27.5 Carbon Frameset"/>
    <n v="9"/>
    <x v="0"/>
    <n v="6"/>
    <x v="1"/>
    <n v="469.99"/>
  </r>
  <r>
    <n v="35"/>
    <s v="Sun Bicycles Spider 3i"/>
    <n v="7"/>
    <x v="6"/>
    <n v="6"/>
    <x v="1"/>
    <n v="832.99"/>
  </r>
  <r>
    <n v="36"/>
    <s v="Surly Troll Frameset"/>
    <n v="8"/>
    <x v="2"/>
    <n v="6"/>
    <x v="1"/>
    <n v="832.99"/>
  </r>
  <r>
    <n v="37"/>
    <s v="Haro Flightline One ST"/>
    <n v="2"/>
    <x v="7"/>
    <n v="6"/>
    <x v="1"/>
    <n v="379.99"/>
  </r>
  <r>
    <n v="38"/>
    <s v="Haro Flightline Two 26 Plus"/>
    <n v="2"/>
    <x v="7"/>
    <n v="6"/>
    <x v="1"/>
    <n v="549.99"/>
  </r>
  <r>
    <n v="39"/>
    <s v="Trek Stache 5"/>
    <n v="9"/>
    <x v="0"/>
    <n v="6"/>
    <x v="1"/>
    <n v="1499.99"/>
  </r>
  <r>
    <n v="40"/>
    <s v="Trek Fuel EX 9.8 29"/>
    <n v="9"/>
    <x v="0"/>
    <n v="6"/>
    <x v="1"/>
    <n v="4999.99"/>
  </r>
  <r>
    <n v="41"/>
    <s v="Haro Shift R3"/>
    <n v="2"/>
    <x v="7"/>
    <n v="6"/>
    <x v="1"/>
    <n v="1469.99"/>
  </r>
  <r>
    <n v="42"/>
    <s v="Trek Fuel EX 5 27.5 Plus"/>
    <n v="9"/>
    <x v="0"/>
    <n v="6"/>
    <x v="1"/>
    <n v="2299.9899999999998"/>
  </r>
  <r>
    <n v="43"/>
    <s v="Trek Fuel EX 9.8 27.5 Plus"/>
    <n v="9"/>
    <x v="0"/>
    <n v="6"/>
    <x v="1"/>
    <n v="5299.99"/>
  </r>
  <r>
    <n v="44"/>
    <s v="Haro SR 1.1"/>
    <n v="2"/>
    <x v="7"/>
    <n v="6"/>
    <x v="1"/>
    <n v="539.99"/>
  </r>
  <r>
    <n v="45"/>
    <s v="Haro SR 1.2"/>
    <n v="2"/>
    <x v="7"/>
    <n v="6"/>
    <x v="1"/>
    <n v="869.99"/>
  </r>
  <r>
    <n v="46"/>
    <s v="Haro SR 1.3"/>
    <n v="2"/>
    <x v="7"/>
    <n v="6"/>
    <x v="1"/>
    <n v="1409.99"/>
  </r>
  <r>
    <n v="47"/>
    <s v="Trek Remedy 9.8"/>
    <n v="9"/>
    <x v="0"/>
    <n v="6"/>
    <x v="1"/>
    <n v="5299.99"/>
  </r>
  <r>
    <n v="48"/>
    <s v="Trek Emonda S 4"/>
    <n v="9"/>
    <x v="0"/>
    <n v="7"/>
    <x v="1"/>
    <n v="1499.99"/>
  </r>
  <r>
    <n v="49"/>
    <s v="Trek Domane SL 6"/>
    <n v="9"/>
    <x v="0"/>
    <n v="7"/>
    <x v="1"/>
    <n v="3499.99"/>
  </r>
  <r>
    <n v="50"/>
    <s v="Trek Silque SLR 7 Women's"/>
    <n v="9"/>
    <x v="0"/>
    <n v="7"/>
    <x v="1"/>
    <n v="5999.99"/>
  </r>
  <r>
    <n v="51"/>
    <s v="Trek Silque SLR 8 Women's"/>
    <n v="9"/>
    <x v="0"/>
    <n v="7"/>
    <x v="1"/>
    <n v="6499.99"/>
  </r>
  <r>
    <n v="52"/>
    <s v="Surly Steamroller"/>
    <n v="8"/>
    <x v="2"/>
    <n v="7"/>
    <x v="1"/>
    <n v="875.99"/>
  </r>
  <r>
    <n v="53"/>
    <s v="Surly Ogre Frameset"/>
    <n v="8"/>
    <x v="2"/>
    <n v="7"/>
    <x v="1"/>
    <n v="749.99"/>
  </r>
  <r>
    <n v="54"/>
    <s v="Trek Domane SL Disc Frameset"/>
    <n v="9"/>
    <x v="0"/>
    <n v="7"/>
    <x v="1"/>
    <n v="3199.99"/>
  </r>
  <r>
    <n v="55"/>
    <s v="Trek Domane S 6"/>
    <n v="9"/>
    <x v="0"/>
    <n v="7"/>
    <x v="1"/>
    <n v="2699.99"/>
  </r>
  <r>
    <n v="56"/>
    <s v="Trek Domane SLR 6 Disc"/>
    <n v="9"/>
    <x v="0"/>
    <n v="7"/>
    <x v="1"/>
    <n v="5499.99"/>
  </r>
  <r>
    <n v="57"/>
    <s v="Trek Emonda S 5"/>
    <n v="9"/>
    <x v="0"/>
    <n v="7"/>
    <x v="1"/>
    <n v="1999.99"/>
  </r>
  <r>
    <n v="58"/>
    <s v="Trek Madone 9.2"/>
    <n v="9"/>
    <x v="0"/>
    <n v="7"/>
    <x v="1"/>
    <n v="4999.99"/>
  </r>
  <r>
    <n v="59"/>
    <s v="Trek Domane S 5 Disc"/>
    <n v="9"/>
    <x v="0"/>
    <n v="7"/>
    <x v="1"/>
    <n v="2599.9899999999998"/>
  </r>
  <r>
    <n v="60"/>
    <s v="Sun Bicycles ElectroLite"/>
    <n v="7"/>
    <x v="6"/>
    <n v="5"/>
    <x v="1"/>
    <n v="1559.99"/>
  </r>
  <r>
    <n v="61"/>
    <s v="Trek Powerfly 8 FS Plus"/>
    <n v="9"/>
    <x v="0"/>
    <n v="5"/>
    <x v="1"/>
    <n v="4999.99"/>
  </r>
  <r>
    <n v="62"/>
    <s v="Trek Boone 7"/>
    <n v="9"/>
    <x v="0"/>
    <n v="4"/>
    <x v="1"/>
    <n v="3499.99"/>
  </r>
  <r>
    <n v="63"/>
    <s v="Trek Boone Race Shop Limited"/>
    <n v="9"/>
    <x v="0"/>
    <n v="4"/>
    <x v="1"/>
    <n v="3499.99"/>
  </r>
  <r>
    <n v="64"/>
    <s v="Electra Townie Original 7D"/>
    <n v="1"/>
    <x v="4"/>
    <n v="3"/>
    <x v="1"/>
    <n v="489.99"/>
  </r>
  <r>
    <n v="65"/>
    <s v="Sun Bicycles Lil Bolt Type"/>
    <n v="7"/>
    <x v="6"/>
    <n v="3"/>
    <x v="1"/>
    <n v="346.99"/>
  </r>
  <r>
    <n v="66"/>
    <s v="Sun Bicycles Revolutions 24"/>
    <n v="7"/>
    <x v="6"/>
    <n v="3"/>
    <x v="1"/>
    <n v="250.99"/>
  </r>
  <r>
    <n v="67"/>
    <s v="Sun Bicycles Revolutions 24"/>
    <n v="7"/>
    <x v="6"/>
    <n v="3"/>
    <x v="1"/>
    <n v="250.99"/>
  </r>
  <r>
    <n v="68"/>
    <s v="Sun Bicycles Cruz 3"/>
    <n v="7"/>
    <x v="6"/>
    <n v="3"/>
    <x v="1"/>
    <n v="449.99"/>
  </r>
  <r>
    <n v="69"/>
    <s v="Sun Bicycles Cruz 7"/>
    <n v="7"/>
    <x v="6"/>
    <n v="3"/>
    <x v="1"/>
    <n v="416.99"/>
  </r>
  <r>
    <n v="70"/>
    <s v="Electra Amsterdam Original 3i"/>
    <n v="1"/>
    <x v="4"/>
    <n v="3"/>
    <x v="1"/>
    <n v="659.99"/>
  </r>
  <r>
    <n v="71"/>
    <s v="Sun Bicycles Atlas X"/>
    <n v="7"/>
    <x v="6"/>
    <n v="3"/>
    <x v="1"/>
    <n v="416.99"/>
  </r>
  <r>
    <n v="72"/>
    <s v="Sun Bicycles Biscayne Tandem 7"/>
    <n v="7"/>
    <x v="6"/>
    <n v="3"/>
    <x v="1"/>
    <n v="619.99"/>
  </r>
  <r>
    <n v="73"/>
    <s v="Sun Bicycles Brickell Tandem 7"/>
    <n v="7"/>
    <x v="6"/>
    <n v="3"/>
    <x v="1"/>
    <n v="749.99"/>
  </r>
  <r>
    <n v="74"/>
    <s v="Electra Cruiser Lux 1"/>
    <n v="1"/>
    <x v="4"/>
    <n v="3"/>
    <x v="1"/>
    <n v="439.99"/>
  </r>
  <r>
    <n v="75"/>
    <s v="Electra Cruiser Lux Fat Tire 1 Ladies"/>
    <n v="1"/>
    <x v="4"/>
    <n v="3"/>
    <x v="1"/>
    <n v="599.99"/>
  </r>
  <r>
    <n v="76"/>
    <s v="Electra Girl's Hawaii 1 16&quot;"/>
    <n v="1"/>
    <x v="4"/>
    <n v="3"/>
    <x v="1"/>
    <n v="299.99"/>
  </r>
  <r>
    <n v="77"/>
    <s v="Electra Glam Punk 3i Ladies'"/>
    <n v="1"/>
    <x v="4"/>
    <n v="3"/>
    <x v="1"/>
    <n v="799.99"/>
  </r>
  <r>
    <n v="78"/>
    <s v="Sun Bicycles Biscayne Tandem CB"/>
    <n v="7"/>
    <x v="6"/>
    <n v="3"/>
    <x v="1"/>
    <n v="647.99"/>
  </r>
  <r>
    <n v="79"/>
    <s v="Sun Bicycles Boardwalk (24"/>
    <n v="7"/>
    <x v="6"/>
    <n v="3"/>
    <x v="1"/>
    <n v="402.99"/>
  </r>
  <r>
    <n v="80"/>
    <s v="Sun Bicycles Brickell Tandem CB"/>
    <n v="7"/>
    <x v="6"/>
    <n v="3"/>
    <x v="1"/>
    <n v="761.99"/>
  </r>
  <r>
    <n v="81"/>
    <s v="Electra Amsterdam Fashion 7i Ladies'"/>
    <n v="1"/>
    <x v="4"/>
    <n v="3"/>
    <x v="1"/>
    <n v="1099.99"/>
  </r>
  <r>
    <n v="82"/>
    <s v="Electra Amsterdam Original 3i Ladies'"/>
    <n v="1"/>
    <x v="4"/>
    <n v="3"/>
    <x v="1"/>
    <n v="659.99"/>
  </r>
  <r>
    <n v="83"/>
    <s v="Trek Boy's Kickster"/>
    <n v="9"/>
    <x v="0"/>
    <n v="1"/>
    <x v="1"/>
    <n v="149.99"/>
  </r>
  <r>
    <n v="84"/>
    <s v="Sun Bicycles Lil Kitt'n"/>
    <n v="7"/>
    <x v="6"/>
    <n v="1"/>
    <x v="1"/>
    <n v="109.99"/>
  </r>
  <r>
    <n v="85"/>
    <s v="Haro Downtown 16"/>
    <n v="2"/>
    <x v="7"/>
    <n v="1"/>
    <x v="1"/>
    <n v="329.99"/>
  </r>
  <r>
    <n v="86"/>
    <s v="Trek Girl's Kickster"/>
    <n v="9"/>
    <x v="0"/>
    <n v="1"/>
    <x v="1"/>
    <n v="149.99"/>
  </r>
  <r>
    <n v="87"/>
    <s v="Trek Precaliber 12 Boys"/>
    <n v="9"/>
    <x v="0"/>
    <n v="1"/>
    <x v="1"/>
    <n v="189.99"/>
  </r>
  <r>
    <n v="88"/>
    <s v="Trek Precaliber 12 Girls"/>
    <n v="9"/>
    <x v="0"/>
    <n v="1"/>
    <x v="1"/>
    <n v="189.99"/>
  </r>
  <r>
    <n v="89"/>
    <s v="Trek Precaliber 16 Boys"/>
    <n v="9"/>
    <x v="0"/>
    <n v="1"/>
    <x v="1"/>
    <n v="209.99"/>
  </r>
  <r>
    <n v="90"/>
    <s v="Trek Precaliber 16 Girls"/>
    <n v="9"/>
    <x v="0"/>
    <n v="1"/>
    <x v="1"/>
    <n v="209.99"/>
  </r>
  <r>
    <n v="91"/>
    <s v="Trek Precaliber 24 (21"/>
    <n v="9"/>
    <x v="0"/>
    <n v="1"/>
    <x v="1"/>
    <n v="349.99"/>
  </r>
  <r>
    <n v="92"/>
    <s v="Haro Shredder 20"/>
    <n v="2"/>
    <x v="7"/>
    <n v="1"/>
    <x v="1"/>
    <n v="209.99"/>
  </r>
  <r>
    <n v="93"/>
    <s v="Haro Shredder 20 Girls"/>
    <n v="2"/>
    <x v="7"/>
    <n v="1"/>
    <x v="1"/>
    <n v="209.99"/>
  </r>
  <r>
    <n v="94"/>
    <s v="Haro Shredder Pro 20"/>
    <n v="2"/>
    <x v="7"/>
    <n v="1"/>
    <x v="1"/>
    <n v="249.99"/>
  </r>
  <r>
    <n v="95"/>
    <s v="Electra Girl's Hawaii 1 16&quot;"/>
    <n v="1"/>
    <x v="4"/>
    <n v="1"/>
    <x v="1"/>
    <n v="299.99"/>
  </r>
  <r>
    <n v="96"/>
    <s v="Electra Moto 3i (20"/>
    <n v="1"/>
    <x v="4"/>
    <n v="1"/>
    <x v="1"/>
    <n v="349.99"/>
  </r>
  <r>
    <n v="97"/>
    <s v="Electra Savannah 3i (20"/>
    <n v="1"/>
    <x v="4"/>
    <n v="1"/>
    <x v="1"/>
    <n v="349.99"/>
  </r>
  <r>
    <n v="98"/>
    <s v="Electra Straight 8 3i (20"/>
    <n v="1"/>
    <x v="4"/>
    <n v="1"/>
    <x v="1"/>
    <n v="489.99"/>
  </r>
  <r>
    <n v="99"/>
    <s v="Electra Sugar Skulls 1 (20"/>
    <n v="1"/>
    <x v="4"/>
    <n v="1"/>
    <x v="1"/>
    <n v="299.99"/>
  </r>
  <r>
    <n v="100"/>
    <s v="Electra Townie 3i EQ (20"/>
    <n v="1"/>
    <x v="4"/>
    <n v="1"/>
    <x v="1"/>
    <n v="489.99"/>
  </r>
  <r>
    <n v="101"/>
    <s v="Electra Townie 7D (20"/>
    <n v="1"/>
    <x v="4"/>
    <n v="1"/>
    <x v="1"/>
    <n v="339.99"/>
  </r>
  <r>
    <n v="102"/>
    <s v="Electra Townie Original 7D"/>
    <n v="1"/>
    <x v="4"/>
    <n v="2"/>
    <x v="1"/>
    <n v="489.99"/>
  </r>
  <r>
    <n v="103"/>
    <s v="Sun Bicycles Streamway 3"/>
    <n v="7"/>
    <x v="6"/>
    <n v="2"/>
    <x v="1"/>
    <n v="551.99"/>
  </r>
  <r>
    <n v="104"/>
    <s v="Sun Bicycles Streamway"/>
    <n v="7"/>
    <x v="6"/>
    <n v="2"/>
    <x v="1"/>
    <n v="481.99"/>
  </r>
  <r>
    <n v="105"/>
    <s v="Sun Bicycles Streamway 7"/>
    <n v="7"/>
    <x v="6"/>
    <n v="2"/>
    <x v="1"/>
    <n v="533.99"/>
  </r>
  <r>
    <n v="106"/>
    <s v="Sun Bicycles Cruz 3"/>
    <n v="7"/>
    <x v="6"/>
    <n v="2"/>
    <x v="1"/>
    <n v="449.99"/>
  </r>
  <r>
    <n v="107"/>
    <s v="Sun Bicycles Cruz 7"/>
    <n v="7"/>
    <x v="6"/>
    <n v="2"/>
    <x v="1"/>
    <n v="416.99"/>
  </r>
  <r>
    <n v="108"/>
    <s v="Sun Bicycles Cruz 3"/>
    <n v="7"/>
    <x v="6"/>
    <n v="2"/>
    <x v="1"/>
    <n v="449.99"/>
  </r>
  <r>
    <n v="109"/>
    <s v="Sun Bicycles Cruz 7"/>
    <n v="7"/>
    <x v="6"/>
    <n v="2"/>
    <x v="1"/>
    <n v="416.99"/>
  </r>
  <r>
    <n v="110"/>
    <s v="Sun Bicycles Drifter 7"/>
    <n v="7"/>
    <x v="6"/>
    <n v="2"/>
    <x v="1"/>
    <n v="470.99"/>
  </r>
  <r>
    <n v="111"/>
    <s v="Sun Bicycles Drifter 7"/>
    <n v="7"/>
    <x v="6"/>
    <n v="2"/>
    <x v="1"/>
    <n v="470.99"/>
  </r>
  <r>
    <n v="112"/>
    <s v="Trek 820"/>
    <n v="9"/>
    <x v="0"/>
    <n v="6"/>
    <x v="2"/>
    <n v="379.99"/>
  </r>
  <r>
    <n v="113"/>
    <s v="Trek Marlin 5"/>
    <n v="9"/>
    <x v="0"/>
    <n v="6"/>
    <x v="2"/>
    <n v="489.99"/>
  </r>
  <r>
    <n v="114"/>
    <s v="Trek Marlin 6"/>
    <n v="9"/>
    <x v="0"/>
    <n v="6"/>
    <x v="2"/>
    <n v="579.99"/>
  </r>
  <r>
    <n v="115"/>
    <s v="Trek Fuel EX 8 29"/>
    <n v="9"/>
    <x v="0"/>
    <n v="6"/>
    <x v="2"/>
    <n v="3199.99"/>
  </r>
  <r>
    <n v="116"/>
    <s v="Trek Marlin 7"/>
    <n v="9"/>
    <x v="0"/>
    <n v="6"/>
    <x v="2"/>
    <n v="749.99"/>
  </r>
  <r>
    <n v="117"/>
    <s v="Trek Ticket S Frame"/>
    <n v="9"/>
    <x v="0"/>
    <n v="6"/>
    <x v="2"/>
    <n v="1469.99"/>
  </r>
  <r>
    <n v="118"/>
    <s v="Trek X"/>
    <n v="9"/>
    <x v="0"/>
    <n v="6"/>
    <x v="2"/>
    <n v="999.99"/>
  </r>
  <r>
    <n v="119"/>
    <s v="Trek Kids' Neko"/>
    <n v="9"/>
    <x v="0"/>
    <n v="6"/>
    <x v="2"/>
    <n v="469.99"/>
  </r>
  <r>
    <n v="120"/>
    <s v="Trek Fuel EX 7 29"/>
    <n v="9"/>
    <x v="0"/>
    <n v="6"/>
    <x v="2"/>
    <n v="2499.9899999999998"/>
  </r>
  <r>
    <n v="121"/>
    <s v="Surly Krampus Frameset"/>
    <n v="8"/>
    <x v="2"/>
    <n v="6"/>
    <x v="2"/>
    <n v="2499.9899999999998"/>
  </r>
  <r>
    <n v="122"/>
    <s v="Surly Troll Frameset"/>
    <n v="8"/>
    <x v="2"/>
    <n v="6"/>
    <x v="2"/>
    <n v="2499.9899999999998"/>
  </r>
  <r>
    <n v="123"/>
    <s v="Trek Farley Carbon Frameset"/>
    <n v="9"/>
    <x v="0"/>
    <n v="6"/>
    <x v="2"/>
    <n v="999.99"/>
  </r>
  <r>
    <n v="124"/>
    <s v="Surly Krampus"/>
    <n v="8"/>
    <x v="2"/>
    <n v="6"/>
    <x v="2"/>
    <n v="1499"/>
  </r>
  <r>
    <n v="125"/>
    <s v="Trek Kids' Dual Sport"/>
    <n v="9"/>
    <x v="0"/>
    <n v="6"/>
    <x v="2"/>
    <n v="469.99"/>
  </r>
  <r>
    <n v="126"/>
    <s v="Surly Big Fat Dummy Frameset"/>
    <n v="8"/>
    <x v="2"/>
    <n v="6"/>
    <x v="2"/>
    <n v="469.99"/>
  </r>
  <r>
    <n v="127"/>
    <s v="Surly Pack Rat Frameset"/>
    <n v="8"/>
    <x v="2"/>
    <n v="6"/>
    <x v="2"/>
    <n v="469.99"/>
  </r>
  <r>
    <n v="128"/>
    <s v="Surly ECR 27.5"/>
    <n v="8"/>
    <x v="2"/>
    <n v="6"/>
    <x v="2"/>
    <n v="1899"/>
  </r>
  <r>
    <n v="129"/>
    <s v="Trek X"/>
    <n v="9"/>
    <x v="0"/>
    <n v="6"/>
    <x v="2"/>
    <n v="919.99"/>
  </r>
  <r>
    <n v="130"/>
    <s v="Trek Stache Carbon Frameset"/>
    <n v="9"/>
    <x v="0"/>
    <n v="6"/>
    <x v="2"/>
    <n v="919.99"/>
  </r>
  <r>
    <n v="131"/>
    <s v="Heller Bloodhound Trail"/>
    <n v="3"/>
    <x v="3"/>
    <n v="6"/>
    <x v="2"/>
    <n v="2599"/>
  </r>
  <r>
    <n v="132"/>
    <s v="Trek Procal AL Frameset"/>
    <n v="9"/>
    <x v="0"/>
    <n v="6"/>
    <x v="2"/>
    <n v="1499.99"/>
  </r>
  <r>
    <n v="133"/>
    <s v="Trek Procaliber Frameset"/>
    <n v="9"/>
    <x v="0"/>
    <n v="6"/>
    <x v="2"/>
    <n v="1499.99"/>
  </r>
  <r>
    <n v="134"/>
    <s v="Trek Remedy 27.5 C Frameset"/>
    <n v="9"/>
    <x v="0"/>
    <n v="6"/>
    <x v="2"/>
    <n v="1499.99"/>
  </r>
  <r>
    <n v="135"/>
    <s v="Trek X"/>
    <n v="9"/>
    <x v="0"/>
    <n v="6"/>
    <x v="2"/>
    <n v="1499.99"/>
  </r>
  <r>
    <n v="136"/>
    <s v="Trek Procaliber 6"/>
    <n v="9"/>
    <x v="0"/>
    <n v="6"/>
    <x v="2"/>
    <n v="1799.99"/>
  </r>
  <r>
    <n v="137"/>
    <s v="Heller Shagamaw GX1"/>
    <n v="3"/>
    <x v="3"/>
    <n v="6"/>
    <x v="2"/>
    <n v="2599"/>
  </r>
  <r>
    <n v="138"/>
    <s v="Trek Fuel EX 5 Plus"/>
    <n v="9"/>
    <x v="0"/>
    <n v="6"/>
    <x v="2"/>
    <n v="2249.9899999999998"/>
  </r>
  <r>
    <n v="139"/>
    <s v="Trek Remedy 7 27.5"/>
    <n v="9"/>
    <x v="0"/>
    <n v="6"/>
    <x v="2"/>
    <n v="2999.99"/>
  </r>
  <r>
    <n v="140"/>
    <s v="Trek Remedy 9.8 27.5"/>
    <n v="9"/>
    <x v="0"/>
    <n v="6"/>
    <x v="2"/>
    <n v="4999.99"/>
  </r>
  <r>
    <n v="141"/>
    <s v="Trek Stache 5"/>
    <n v="9"/>
    <x v="0"/>
    <n v="6"/>
    <x v="2"/>
    <n v="1599.99"/>
  </r>
  <r>
    <n v="142"/>
    <s v="Trek Fuel EX 8 29 XT"/>
    <n v="9"/>
    <x v="0"/>
    <n v="6"/>
    <x v="2"/>
    <n v="3199.99"/>
  </r>
  <r>
    <n v="143"/>
    <s v="Trek Domane ALR 3"/>
    <n v="9"/>
    <x v="0"/>
    <n v="7"/>
    <x v="2"/>
    <n v="1099.99"/>
  </r>
  <r>
    <n v="144"/>
    <s v="Trek Domane ALR 4 Disc"/>
    <n v="9"/>
    <x v="0"/>
    <n v="7"/>
    <x v="2"/>
    <n v="1549.99"/>
  </r>
  <r>
    <n v="145"/>
    <s v="Trek Domane ALR 5 Disc"/>
    <n v="9"/>
    <x v="0"/>
    <n v="7"/>
    <x v="2"/>
    <n v="1799.99"/>
  </r>
  <r>
    <n v="146"/>
    <s v="Trek Domane SLR 6"/>
    <n v="9"/>
    <x v="0"/>
    <n v="7"/>
    <x v="2"/>
    <n v="4999.99"/>
  </r>
  <r>
    <n v="147"/>
    <s v="Trek Domane ALR 5 Gravel"/>
    <n v="9"/>
    <x v="0"/>
    <n v="7"/>
    <x v="2"/>
    <n v="1799.99"/>
  </r>
  <r>
    <n v="148"/>
    <s v="Trek Domane SL 8 Disc"/>
    <n v="9"/>
    <x v="0"/>
    <n v="7"/>
    <x v="2"/>
    <n v="5499.99"/>
  </r>
  <r>
    <n v="149"/>
    <s v="Trek Domane SLR 8 Disc"/>
    <n v="9"/>
    <x v="0"/>
    <n v="7"/>
    <x v="2"/>
    <n v="7499.99"/>
  </r>
  <r>
    <n v="150"/>
    <s v="Trek Emonda SL 7"/>
    <n v="9"/>
    <x v="0"/>
    <n v="7"/>
    <x v="2"/>
    <n v="4499.99"/>
  </r>
  <r>
    <n v="151"/>
    <s v="Trek Domane ALR 4 Disc Women's"/>
    <n v="9"/>
    <x v="0"/>
    <n v="7"/>
    <x v="2"/>
    <n v="1549.99"/>
  </r>
  <r>
    <n v="152"/>
    <s v="Trek Domane SL 5 Disc Women's"/>
    <n v="9"/>
    <x v="0"/>
    <n v="7"/>
    <x v="2"/>
    <n v="2499.9899999999998"/>
  </r>
  <r>
    <n v="153"/>
    <s v="Trek Domane SL 7 Women's"/>
    <n v="9"/>
    <x v="0"/>
    <n v="7"/>
    <x v="2"/>
    <n v="4999.99"/>
  </r>
  <r>
    <n v="154"/>
    <s v="Trek Domane SLR 6 Disc Women's"/>
    <n v="9"/>
    <x v="0"/>
    <n v="7"/>
    <x v="2"/>
    <n v="5499.99"/>
  </r>
  <r>
    <n v="155"/>
    <s v="Trek Domane SLR 9 Disc"/>
    <n v="9"/>
    <x v="0"/>
    <n v="7"/>
    <x v="2"/>
    <n v="11999.99"/>
  </r>
  <r>
    <n v="156"/>
    <s v="Trek Domane SL Frameset"/>
    <n v="9"/>
    <x v="0"/>
    <n v="7"/>
    <x v="2"/>
    <n v="6499.99"/>
  </r>
  <r>
    <n v="157"/>
    <s v="Trek Domane SL Frameset Women's"/>
    <n v="9"/>
    <x v="0"/>
    <n v="7"/>
    <x v="2"/>
    <n v="6499.99"/>
  </r>
  <r>
    <n v="158"/>
    <s v="Trek CrossRip 1"/>
    <n v="9"/>
    <x v="0"/>
    <n v="7"/>
    <x v="2"/>
    <n v="959.99"/>
  </r>
  <r>
    <n v="159"/>
    <s v="Trek Emonda ALR 6"/>
    <n v="9"/>
    <x v="0"/>
    <n v="7"/>
    <x v="2"/>
    <n v="2299.9899999999998"/>
  </r>
  <r>
    <n v="160"/>
    <s v="Trek Emonda SLR 6"/>
    <n v="9"/>
    <x v="0"/>
    <n v="7"/>
    <x v="2"/>
    <n v="4499.99"/>
  </r>
  <r>
    <n v="161"/>
    <s v="Surly ECR"/>
    <n v="8"/>
    <x v="2"/>
    <n v="7"/>
    <x v="2"/>
    <n v="1899"/>
  </r>
  <r>
    <n v="162"/>
    <s v="Trek Emonda SL 6 Disc"/>
    <n v="9"/>
    <x v="0"/>
    <n v="7"/>
    <x v="2"/>
    <n v="2999.99"/>
  </r>
  <r>
    <n v="163"/>
    <s v="Surly Pack Rat"/>
    <n v="8"/>
    <x v="2"/>
    <n v="7"/>
    <x v="2"/>
    <n v="1349"/>
  </r>
  <r>
    <n v="164"/>
    <s v="Surly Straggler 650b"/>
    <n v="8"/>
    <x v="2"/>
    <n v="7"/>
    <x v="2"/>
    <n v="1549"/>
  </r>
  <r>
    <n v="165"/>
    <s v="Trek 1120"/>
    <n v="9"/>
    <x v="0"/>
    <n v="7"/>
    <x v="2"/>
    <n v="2499.9899999999998"/>
  </r>
  <r>
    <n v="166"/>
    <s v="Trek Domane AL 2 Women's"/>
    <n v="9"/>
    <x v="0"/>
    <n v="7"/>
    <x v="2"/>
    <n v="749.99"/>
  </r>
  <r>
    <n v="167"/>
    <s v="Surly ECR Frameset"/>
    <n v="8"/>
    <x v="2"/>
    <n v="7"/>
    <x v="2"/>
    <n v="749.99"/>
  </r>
  <r>
    <n v="168"/>
    <s v="Surly Straggler"/>
    <n v="8"/>
    <x v="2"/>
    <n v="7"/>
    <x v="2"/>
    <n v="1549"/>
  </r>
  <r>
    <n v="169"/>
    <s v="Trek Emonda SLR 8"/>
    <n v="9"/>
    <x v="0"/>
    <n v="7"/>
    <x v="2"/>
    <n v="6499.99"/>
  </r>
  <r>
    <n v="170"/>
    <s v="Trek CrossRip 2"/>
    <n v="9"/>
    <x v="0"/>
    <n v="7"/>
    <x v="2"/>
    <n v="1299.99"/>
  </r>
  <r>
    <n v="171"/>
    <s v="Trek Domane SL 6"/>
    <n v="9"/>
    <x v="0"/>
    <n v="7"/>
    <x v="2"/>
    <n v="3199.99"/>
  </r>
  <r>
    <n v="172"/>
    <s v="Trek Domane ALR Disc Frameset"/>
    <n v="9"/>
    <x v="0"/>
    <n v="7"/>
    <x v="2"/>
    <n v="3199.99"/>
  </r>
  <r>
    <n v="173"/>
    <s v="Trek Domane ALR Frameset"/>
    <n v="9"/>
    <x v="0"/>
    <n v="7"/>
    <x v="2"/>
    <n v="3199.99"/>
  </r>
  <r>
    <n v="174"/>
    <s v="Trek Domane SLR Disc Frameset"/>
    <n v="9"/>
    <x v="0"/>
    <n v="7"/>
    <x v="2"/>
    <n v="3199.99"/>
  </r>
  <r>
    <n v="175"/>
    <s v="Trek Domane SLR Frameset"/>
    <n v="9"/>
    <x v="0"/>
    <n v="7"/>
    <x v="2"/>
    <n v="3199.99"/>
  </r>
  <r>
    <n v="176"/>
    <s v="Trek Madone 9 Frameset"/>
    <n v="9"/>
    <x v="0"/>
    <n v="7"/>
    <x v="2"/>
    <n v="3199.99"/>
  </r>
  <r>
    <n v="177"/>
    <s v="Trek Domane SLR 6 Disc"/>
    <n v="9"/>
    <x v="0"/>
    <n v="7"/>
    <x v="2"/>
    <n v="5499.99"/>
  </r>
  <r>
    <n v="178"/>
    <s v="Trek Domane AL 2"/>
    <n v="9"/>
    <x v="0"/>
    <n v="7"/>
    <x v="2"/>
    <n v="749.99"/>
  </r>
  <r>
    <n v="179"/>
    <s v="Trek Domane AL 3"/>
    <n v="9"/>
    <x v="0"/>
    <n v="7"/>
    <x v="2"/>
    <n v="919.99"/>
  </r>
  <r>
    <n v="180"/>
    <s v="Trek Domane AL 3 Women's"/>
    <n v="9"/>
    <x v="0"/>
    <n v="7"/>
    <x v="2"/>
    <n v="919.99"/>
  </r>
  <r>
    <n v="181"/>
    <s v="Trek Domane SL 5"/>
    <n v="9"/>
    <x v="0"/>
    <n v="7"/>
    <x v="2"/>
    <n v="2199.9899999999998"/>
  </r>
  <r>
    <n v="182"/>
    <s v="Trek Domane SL 5 Disc"/>
    <n v="9"/>
    <x v="0"/>
    <n v="7"/>
    <x v="2"/>
    <n v="2499.9899999999998"/>
  </r>
  <r>
    <n v="183"/>
    <s v="Trek Domane SL 5 Women's"/>
    <n v="9"/>
    <x v="0"/>
    <n v="7"/>
    <x v="2"/>
    <n v="2199.9899999999998"/>
  </r>
  <r>
    <n v="184"/>
    <s v="Trek Domane SL 6 Disc"/>
    <n v="9"/>
    <x v="0"/>
    <n v="7"/>
    <x v="2"/>
    <n v="3499.99"/>
  </r>
  <r>
    <n v="185"/>
    <s v="Trek Conduit+"/>
    <n v="9"/>
    <x v="0"/>
    <n v="5"/>
    <x v="2"/>
    <n v="2799.99"/>
  </r>
  <r>
    <n v="186"/>
    <s v="Trek CrossRip+"/>
    <n v="9"/>
    <x v="0"/>
    <n v="5"/>
    <x v="2"/>
    <n v="4499.99"/>
  </r>
  <r>
    <n v="187"/>
    <s v="Trek Neko+"/>
    <n v="9"/>
    <x v="0"/>
    <n v="5"/>
    <x v="2"/>
    <n v="2799.99"/>
  </r>
  <r>
    <n v="188"/>
    <s v="Trek XM700+ Lowstep"/>
    <n v="9"/>
    <x v="0"/>
    <n v="5"/>
    <x v="2"/>
    <n v="3499.99"/>
  </r>
  <r>
    <n v="189"/>
    <s v="Trek Lift+ Lowstep"/>
    <n v="9"/>
    <x v="0"/>
    <n v="5"/>
    <x v="2"/>
    <n v="2799.99"/>
  </r>
  <r>
    <n v="190"/>
    <s v="Trek Dual Sport+"/>
    <n v="9"/>
    <x v="0"/>
    <n v="5"/>
    <x v="2"/>
    <n v="2799.99"/>
  </r>
  <r>
    <n v="191"/>
    <s v="Electra Loft Go! 8i"/>
    <n v="1"/>
    <x v="4"/>
    <n v="5"/>
    <x v="2"/>
    <n v="2799.99"/>
  </r>
  <r>
    <n v="192"/>
    <s v="Electra Townie Go! 8i"/>
    <n v="1"/>
    <x v="4"/>
    <n v="5"/>
    <x v="2"/>
    <n v="2599.9899999999998"/>
  </r>
  <r>
    <n v="193"/>
    <s v="Trek Lift+"/>
    <n v="9"/>
    <x v="0"/>
    <n v="5"/>
    <x v="2"/>
    <n v="2799.99"/>
  </r>
  <r>
    <n v="194"/>
    <s v="Trek XM700+"/>
    <n v="9"/>
    <x v="0"/>
    <n v="5"/>
    <x v="2"/>
    <n v="3499.99"/>
  </r>
  <r>
    <n v="195"/>
    <s v="Electra Townie Go! 8i Ladies'"/>
    <n v="1"/>
    <x v="4"/>
    <n v="5"/>
    <x v="2"/>
    <n v="2599.9899999999998"/>
  </r>
  <r>
    <n v="196"/>
    <s v="Trek Verve+"/>
    <n v="9"/>
    <x v="0"/>
    <n v="5"/>
    <x v="2"/>
    <n v="2299.9899999999998"/>
  </r>
  <r>
    <n v="197"/>
    <s v="Trek Verve+ Lowstep"/>
    <n v="9"/>
    <x v="0"/>
    <n v="5"/>
    <x v="2"/>
    <n v="2299.9899999999998"/>
  </r>
  <r>
    <n v="198"/>
    <s v="Electra Townie Commute Go!"/>
    <n v="1"/>
    <x v="4"/>
    <n v="5"/>
    <x v="2"/>
    <n v="2999.99"/>
  </r>
  <r>
    <n v="199"/>
    <s v="Electra Townie Commute Go! Ladies'"/>
    <n v="1"/>
    <x v="4"/>
    <n v="5"/>
    <x v="2"/>
    <n v="2999.99"/>
  </r>
  <r>
    <n v="200"/>
    <s v="Trek Powerfly 5"/>
    <n v="9"/>
    <x v="0"/>
    <n v="5"/>
    <x v="2"/>
    <n v="3499.99"/>
  </r>
  <r>
    <n v="201"/>
    <s v="Trek Powerfly 5 FS"/>
    <n v="9"/>
    <x v="0"/>
    <n v="5"/>
    <x v="2"/>
    <n v="4499.99"/>
  </r>
  <r>
    <n v="202"/>
    <s v="Trek Powerfly 5 Women's"/>
    <n v="9"/>
    <x v="0"/>
    <n v="5"/>
    <x v="2"/>
    <n v="3499.99"/>
  </r>
  <r>
    <n v="203"/>
    <s v="Trek Powerfly 7 FS"/>
    <n v="9"/>
    <x v="0"/>
    <n v="5"/>
    <x v="2"/>
    <n v="4999.99"/>
  </r>
  <r>
    <n v="204"/>
    <s v="Trek Super Commuter+ 7"/>
    <n v="9"/>
    <x v="0"/>
    <n v="5"/>
    <x v="2"/>
    <n v="3599.99"/>
  </r>
  <r>
    <n v="205"/>
    <s v="Trek Super Commuter+ 8S"/>
    <n v="9"/>
    <x v="0"/>
    <n v="5"/>
    <x v="2"/>
    <n v="4999.99"/>
  </r>
  <r>
    <n v="206"/>
    <s v="Trek Boone 5 Disc"/>
    <n v="9"/>
    <x v="0"/>
    <n v="4"/>
    <x v="2"/>
    <n v="3299.99"/>
  </r>
  <r>
    <n v="207"/>
    <s v="Trek Boone 7 Disc"/>
    <n v="9"/>
    <x v="0"/>
    <n v="4"/>
    <x v="2"/>
    <n v="3999.99"/>
  </r>
  <r>
    <n v="208"/>
    <s v="Trek Crockett 5 Disc"/>
    <n v="9"/>
    <x v="0"/>
    <n v="4"/>
    <x v="2"/>
    <n v="1799.99"/>
  </r>
  <r>
    <n v="209"/>
    <s v="Trek Crockett 7 Disc"/>
    <n v="9"/>
    <x v="0"/>
    <n v="4"/>
    <x v="2"/>
    <n v="2999.99"/>
  </r>
  <r>
    <n v="210"/>
    <s v="Surly Straggler"/>
    <n v="8"/>
    <x v="2"/>
    <n v="4"/>
    <x v="2"/>
    <n v="1549"/>
  </r>
  <r>
    <n v="211"/>
    <s v="Surly Straggler 650b"/>
    <n v="8"/>
    <x v="2"/>
    <n v="4"/>
    <x v="2"/>
    <n v="1549"/>
  </r>
  <r>
    <n v="212"/>
    <s v="Electra Townie Original 21D"/>
    <n v="1"/>
    <x v="4"/>
    <n v="3"/>
    <x v="2"/>
    <n v="559.99"/>
  </r>
  <r>
    <n v="213"/>
    <s v="Electra Cruiser 1"/>
    <n v="1"/>
    <x v="4"/>
    <n v="3"/>
    <x v="2"/>
    <n v="269.99"/>
  </r>
  <r>
    <n v="214"/>
    <s v="Electra Tiger Shark 3i"/>
    <n v="1"/>
    <x v="4"/>
    <n v="3"/>
    <x v="2"/>
    <n v="899.99"/>
  </r>
  <r>
    <n v="215"/>
    <s v="Electra Queen of Hearts 3i"/>
    <n v="1"/>
    <x v="4"/>
    <n v="3"/>
    <x v="2"/>
    <n v="749.99"/>
  </r>
  <r>
    <n v="216"/>
    <s v="Electra Super Moto 8i"/>
    <n v="1"/>
    <x v="4"/>
    <n v="3"/>
    <x v="2"/>
    <n v="899.99"/>
  </r>
  <r>
    <n v="217"/>
    <s v="Electra Straight 8 3i"/>
    <n v="1"/>
    <x v="4"/>
    <n v="3"/>
    <x v="2"/>
    <n v="909.99"/>
  </r>
  <r>
    <n v="218"/>
    <s v="Electra Cruiser 7D"/>
    <n v="1"/>
    <x v="4"/>
    <n v="3"/>
    <x v="2"/>
    <n v="319.99"/>
  </r>
  <r>
    <n v="219"/>
    <s v="Electra Moto 3i"/>
    <n v="1"/>
    <x v="4"/>
    <n v="3"/>
    <x v="2"/>
    <n v="639.99"/>
  </r>
  <r>
    <n v="220"/>
    <s v="Electra Cruiser 1 Ladies'"/>
    <n v="1"/>
    <x v="4"/>
    <n v="3"/>
    <x v="2"/>
    <n v="269.99"/>
  </r>
  <r>
    <n v="221"/>
    <s v="Electra Cruiser 7D Ladies'"/>
    <n v="1"/>
    <x v="4"/>
    <n v="3"/>
    <x v="2"/>
    <n v="319.99"/>
  </r>
  <r>
    <n v="222"/>
    <s v="Electra Cruiser 1 Tall"/>
    <n v="1"/>
    <x v="4"/>
    <n v="3"/>
    <x v="2"/>
    <n v="269.99"/>
  </r>
  <r>
    <n v="223"/>
    <s v="Electra Cruiser Lux 3i"/>
    <n v="1"/>
    <x v="4"/>
    <n v="3"/>
    <x v="2"/>
    <n v="529.99"/>
  </r>
  <r>
    <n v="224"/>
    <s v="Electra Cruiser Lux 7D"/>
    <n v="1"/>
    <x v="4"/>
    <n v="3"/>
    <x v="2"/>
    <n v="479.99"/>
  </r>
  <r>
    <n v="225"/>
    <s v="Electra Delivery 3i"/>
    <n v="1"/>
    <x v="4"/>
    <n v="3"/>
    <x v="2"/>
    <n v="959.99"/>
  </r>
  <r>
    <n v="226"/>
    <s v="Electra Townie Original 21D EQ"/>
    <n v="1"/>
    <x v="4"/>
    <n v="3"/>
    <x v="2"/>
    <n v="679.99"/>
  </r>
  <r>
    <n v="227"/>
    <s v="Electra Cruiser 7D (24"/>
    <n v="1"/>
    <x v="4"/>
    <n v="3"/>
    <x v="2"/>
    <n v="319.99"/>
  </r>
  <r>
    <n v="228"/>
    <s v="Electra Cruiser 7D Tall"/>
    <n v="1"/>
    <x v="4"/>
    <n v="3"/>
    <x v="2"/>
    <n v="319.99"/>
  </r>
  <r>
    <n v="229"/>
    <s v="Electra Cruiser Lux 1"/>
    <n v="1"/>
    <x v="4"/>
    <n v="3"/>
    <x v="2"/>
    <n v="429.99"/>
  </r>
  <r>
    <n v="230"/>
    <s v="Electra Cruiser Lux 1 Ladies'"/>
    <n v="1"/>
    <x v="4"/>
    <n v="3"/>
    <x v="2"/>
    <n v="429.99"/>
  </r>
  <r>
    <n v="231"/>
    <s v="Electra Cruiser Lux 3i Ladies'"/>
    <n v="1"/>
    <x v="4"/>
    <n v="3"/>
    <x v="2"/>
    <n v="529.99"/>
  </r>
  <r>
    <n v="232"/>
    <s v="Electra Cruiser Lux 7D Ladies'"/>
    <n v="1"/>
    <x v="4"/>
    <n v="3"/>
    <x v="2"/>
    <n v="479.99"/>
  </r>
  <r>
    <n v="233"/>
    <s v="Electra Cruiser Lux Fat Tire 7D"/>
    <n v="1"/>
    <x v="4"/>
    <n v="3"/>
    <x v="2"/>
    <n v="639.99"/>
  </r>
  <r>
    <n v="234"/>
    <s v="Electra Daydreamer 3i Ladies'"/>
    <n v="1"/>
    <x v="4"/>
    <n v="3"/>
    <x v="2"/>
    <n v="899.99"/>
  </r>
  <r>
    <n v="235"/>
    <s v="Electra Koa 3i Ladies'"/>
    <n v="1"/>
    <x v="4"/>
    <n v="3"/>
    <x v="2"/>
    <n v="899.99"/>
  </r>
  <r>
    <n v="236"/>
    <s v="Electra Morningstar 3i Ladies'"/>
    <n v="1"/>
    <x v="4"/>
    <n v="3"/>
    <x v="2"/>
    <n v="749.99"/>
  </r>
  <r>
    <n v="237"/>
    <s v="Electra Relic 3i"/>
    <n v="1"/>
    <x v="4"/>
    <n v="3"/>
    <x v="2"/>
    <n v="849.99"/>
  </r>
  <r>
    <n v="238"/>
    <s v="Electra Townie Balloon 8D EQ"/>
    <n v="1"/>
    <x v="4"/>
    <n v="3"/>
    <x v="2"/>
    <n v="749.99"/>
  </r>
  <r>
    <n v="239"/>
    <s v="Electra Townie Balloon 8D EQ Ladies'"/>
    <n v="1"/>
    <x v="4"/>
    <n v="3"/>
    <x v="2"/>
    <n v="749.99"/>
  </r>
  <r>
    <n v="240"/>
    <s v="Electra Townie Commute 27D Ladies"/>
    <n v="1"/>
    <x v="4"/>
    <n v="3"/>
    <x v="2"/>
    <n v="899.99"/>
  </r>
  <r>
    <n v="241"/>
    <s v="Electra Townie Commute 8D"/>
    <n v="1"/>
    <x v="4"/>
    <n v="3"/>
    <x v="2"/>
    <n v="749.99"/>
  </r>
  <r>
    <n v="242"/>
    <s v="Electra Townie Commute 8D Ladies'"/>
    <n v="1"/>
    <x v="4"/>
    <n v="3"/>
    <x v="2"/>
    <n v="699.99"/>
  </r>
  <r>
    <n v="243"/>
    <s v="Electra Townie Original 21D EQ Ladies'"/>
    <n v="1"/>
    <x v="4"/>
    <n v="3"/>
    <x v="2"/>
    <n v="679.99"/>
  </r>
  <r>
    <n v="244"/>
    <s v="Electra Townie Original 21D Ladies'"/>
    <n v="1"/>
    <x v="4"/>
    <n v="3"/>
    <x v="2"/>
    <n v="559.99"/>
  </r>
  <r>
    <n v="245"/>
    <s v="Electra Townie Original 3i EQ"/>
    <n v="1"/>
    <x v="4"/>
    <n v="3"/>
    <x v="2"/>
    <n v="659.99"/>
  </r>
  <r>
    <n v="246"/>
    <s v="Electra Townie Original 3i EQ Ladies'"/>
    <n v="1"/>
    <x v="4"/>
    <n v="3"/>
    <x v="2"/>
    <n v="639.99"/>
  </r>
  <r>
    <n v="247"/>
    <s v="Electra Townie Original 7D EQ"/>
    <n v="1"/>
    <x v="4"/>
    <n v="3"/>
    <x v="2"/>
    <n v="599.99"/>
  </r>
  <r>
    <n v="248"/>
    <s v="Electra Townie Original 7D EQ Ladies'"/>
    <n v="1"/>
    <x v="4"/>
    <n v="3"/>
    <x v="2"/>
    <n v="599.99"/>
  </r>
  <r>
    <n v="249"/>
    <s v="Electra White Water 3i"/>
    <n v="1"/>
    <x v="4"/>
    <n v="3"/>
    <x v="2"/>
    <n v="749.99"/>
  </r>
  <r>
    <n v="250"/>
    <s v="Electra Townie Go! 8i"/>
    <n v="1"/>
    <x v="4"/>
    <n v="3"/>
    <x v="2"/>
    <n v="2599.9899999999998"/>
  </r>
  <r>
    <n v="251"/>
    <s v="Electra Townie Commute Go!"/>
    <n v="1"/>
    <x v="4"/>
    <n v="3"/>
    <x v="2"/>
    <n v="2999.99"/>
  </r>
  <r>
    <n v="252"/>
    <s v="Electra Townie Commute Go! Ladies'"/>
    <n v="1"/>
    <x v="4"/>
    <n v="3"/>
    <x v="2"/>
    <n v="2999.99"/>
  </r>
  <r>
    <n v="253"/>
    <s v="Electra Townie Go! 8i Ladies'"/>
    <n v="1"/>
    <x v="4"/>
    <n v="3"/>
    <x v="2"/>
    <n v="2599.9899999999998"/>
  </r>
  <r>
    <n v="254"/>
    <s v="Electra Townie Balloon 3i EQ"/>
    <n v="1"/>
    <x v="4"/>
    <n v="3"/>
    <x v="2"/>
    <n v="749.99"/>
  </r>
  <r>
    <n v="255"/>
    <s v="Electra Townie Balloon 7i EQ Ladies'"/>
    <n v="1"/>
    <x v="4"/>
    <n v="3"/>
    <x v="2"/>
    <n v="899.99"/>
  </r>
  <r>
    <n v="256"/>
    <s v="Electra Townie Commute 27D"/>
    <n v="1"/>
    <x v="4"/>
    <n v="3"/>
    <x v="2"/>
    <n v="899.99"/>
  </r>
  <r>
    <n v="257"/>
    <s v="Electra Amsterdam Fashion 3i Ladies'"/>
    <n v="1"/>
    <x v="4"/>
    <n v="3"/>
    <x v="2"/>
    <n v="899.99"/>
  </r>
  <r>
    <n v="258"/>
    <s v="Electra Amsterdam Royal 8i"/>
    <n v="1"/>
    <x v="4"/>
    <n v="3"/>
    <x v="2"/>
    <n v="1259.9000000000001"/>
  </r>
  <r>
    <n v="259"/>
    <s v="Electra Amsterdam Royal 8i Ladies"/>
    <n v="1"/>
    <x v="4"/>
    <n v="3"/>
    <x v="2"/>
    <n v="1199.99"/>
  </r>
  <r>
    <n v="260"/>
    <s v="Electra Townie Balloon 3i EQ Ladies'"/>
    <n v="1"/>
    <x v="4"/>
    <n v="3"/>
    <x v="2"/>
    <n v="799.99"/>
  </r>
  <r>
    <n v="261"/>
    <s v="Electra Townie Balloon 7i EQ"/>
    <n v="1"/>
    <x v="4"/>
    <n v="3"/>
    <x v="2"/>
    <n v="899.99"/>
  </r>
  <r>
    <n v="262"/>
    <s v="Trek MT 201"/>
    <n v="9"/>
    <x v="0"/>
    <n v="1"/>
    <x v="2"/>
    <n v="249.99"/>
  </r>
  <r>
    <n v="263"/>
    <s v="Strider Classic 12 Balance Bike"/>
    <n v="6"/>
    <x v="8"/>
    <n v="1"/>
    <x v="2"/>
    <n v="89.99"/>
  </r>
  <r>
    <n v="264"/>
    <s v="Strider Sport 16"/>
    <n v="6"/>
    <x v="8"/>
    <n v="1"/>
    <x v="2"/>
    <n v="249.99"/>
  </r>
  <r>
    <n v="265"/>
    <s v="Strider Strider 20 Sport"/>
    <n v="6"/>
    <x v="8"/>
    <n v="1"/>
    <x v="2"/>
    <n v="289.99"/>
  </r>
  <r>
    <n v="266"/>
    <s v="Trek Superfly 20"/>
    <n v="9"/>
    <x v="0"/>
    <n v="1"/>
    <x v="2"/>
    <n v="399.99"/>
  </r>
  <r>
    <n v="267"/>
    <s v="Trek Precaliber 12 Girl's"/>
    <n v="9"/>
    <x v="0"/>
    <n v="1"/>
    <x v="2"/>
    <n v="199.99"/>
  </r>
  <r>
    <n v="268"/>
    <s v="Trek Kickster"/>
    <n v="9"/>
    <x v="0"/>
    <n v="1"/>
    <x v="2"/>
    <n v="159.99"/>
  </r>
  <r>
    <n v="269"/>
    <s v="Trek Precaliber 12 Boy's"/>
    <n v="9"/>
    <x v="0"/>
    <n v="1"/>
    <x v="2"/>
    <n v="199.99"/>
  </r>
  <r>
    <n v="270"/>
    <s v="Trek Precaliber 16 Boy's"/>
    <n v="9"/>
    <x v="0"/>
    <n v="1"/>
    <x v="2"/>
    <n v="209.99"/>
  </r>
  <r>
    <n v="271"/>
    <s v="Trek Precaliber 16 Girl's"/>
    <n v="9"/>
    <x v="0"/>
    <n v="1"/>
    <x v="2"/>
    <n v="209.99"/>
  </r>
  <r>
    <n v="272"/>
    <s v="Trek Precaliber 20 6"/>
    <n v="9"/>
    <x v="0"/>
    <n v="1"/>
    <x v="2"/>
    <n v="289.99"/>
  </r>
  <r>
    <n v="273"/>
    <s v="Trek Precaliber 20 6"/>
    <n v="9"/>
    <x v="0"/>
    <n v="1"/>
    <x v="2"/>
    <n v="289.99"/>
  </r>
  <r>
    <n v="274"/>
    <s v="Trek Precaliber 20 Boy's"/>
    <n v="9"/>
    <x v="0"/>
    <n v="1"/>
    <x v="2"/>
    <n v="229.99"/>
  </r>
  <r>
    <n v="275"/>
    <s v="Trek Precaliber 20 Girl's"/>
    <n v="9"/>
    <x v="0"/>
    <n v="1"/>
    <x v="2"/>
    <n v="229.99"/>
  </r>
  <r>
    <n v="276"/>
    <s v="Trek Precaliber 24 (7"/>
    <n v="9"/>
    <x v="0"/>
    <n v="1"/>
    <x v="2"/>
    <n v="319.99"/>
  </r>
  <r>
    <n v="277"/>
    <s v="Trek Precaliber 24 21"/>
    <n v="9"/>
    <x v="0"/>
    <n v="1"/>
    <x v="2"/>
    <n v="369.99"/>
  </r>
  <r>
    <n v="278"/>
    <s v="Trek Precaliber 24 21"/>
    <n v="9"/>
    <x v="0"/>
    <n v="1"/>
    <x v="2"/>
    <n v="369.99"/>
  </r>
  <r>
    <n v="279"/>
    <s v="Trek Precaliber 24 7"/>
    <n v="9"/>
    <x v="0"/>
    <n v="1"/>
    <x v="2"/>
    <n v="319.99"/>
  </r>
  <r>
    <n v="280"/>
    <s v="Trek Superfly 24"/>
    <n v="9"/>
    <x v="0"/>
    <n v="1"/>
    <x v="2"/>
    <n v="489.99"/>
  </r>
  <r>
    <n v="281"/>
    <s v="Electra Cruiser 7D (24"/>
    <n v="1"/>
    <x v="4"/>
    <n v="1"/>
    <x v="2"/>
    <n v="319.99"/>
  </r>
  <r>
    <n v="282"/>
    <s v="Electra Cyclosaurus 1 (16"/>
    <n v="1"/>
    <x v="4"/>
    <n v="1"/>
    <x v="2"/>
    <n v="279.99"/>
  </r>
  <r>
    <n v="283"/>
    <s v="Electra Heartchya 1 (20"/>
    <n v="1"/>
    <x v="4"/>
    <n v="1"/>
    <x v="2"/>
    <n v="319.99"/>
  </r>
  <r>
    <n v="284"/>
    <s v="Electra Savannah 1 (20"/>
    <n v="1"/>
    <x v="4"/>
    <n v="1"/>
    <x v="2"/>
    <n v="319.99"/>
  </r>
  <r>
    <n v="285"/>
    <s v="Electra Soft Serve 1 (16"/>
    <n v="1"/>
    <x v="4"/>
    <n v="1"/>
    <x v="2"/>
    <n v="279.99"/>
  </r>
  <r>
    <n v="286"/>
    <s v="Electra Starship 1 16&quot;"/>
    <n v="1"/>
    <x v="4"/>
    <n v="1"/>
    <x v="2"/>
    <n v="279.99"/>
  </r>
  <r>
    <n v="287"/>
    <s v="Electra Straight 8 1 (16"/>
    <n v="1"/>
    <x v="4"/>
    <n v="1"/>
    <x v="2"/>
    <n v="279.99"/>
  </r>
  <r>
    <n v="288"/>
    <s v="Electra Straight 8 1 (20"/>
    <n v="1"/>
    <x v="4"/>
    <n v="1"/>
    <x v="2"/>
    <n v="389.99"/>
  </r>
  <r>
    <n v="289"/>
    <s v="Electra Superbolt 1 20&quot;"/>
    <n v="1"/>
    <x v="4"/>
    <n v="1"/>
    <x v="2"/>
    <n v="319.99"/>
  </r>
  <r>
    <n v="290"/>
    <s v="Electra Superbolt 3i 20&quot;"/>
    <n v="1"/>
    <x v="4"/>
    <n v="1"/>
    <x v="2"/>
    <n v="369.99"/>
  </r>
  <r>
    <n v="291"/>
    <s v="Electra Sweet Ride 1 (20"/>
    <n v="1"/>
    <x v="4"/>
    <n v="1"/>
    <x v="2"/>
    <n v="319.99"/>
  </r>
  <r>
    <n v="292"/>
    <s v="Electra Sweet Ride 3i (20"/>
    <n v="1"/>
    <x v="4"/>
    <n v="1"/>
    <x v="2"/>
    <n v="369.99"/>
  </r>
  <r>
    <n v="293"/>
    <s v="Electra Tiger Shark 1 (20"/>
    <n v="1"/>
    <x v="4"/>
    <n v="1"/>
    <x v="2"/>
    <n v="319.99"/>
  </r>
  <r>
    <n v="294"/>
    <s v="Electra Tiger Shark 3i (20"/>
    <n v="1"/>
    <x v="4"/>
    <n v="1"/>
    <x v="2"/>
    <n v="369.99"/>
  </r>
  <r>
    <n v="295"/>
    <s v="Electra Treasure 1 20&quot;"/>
    <n v="1"/>
    <x v="4"/>
    <n v="1"/>
    <x v="2"/>
    <n v="319.99"/>
  </r>
  <r>
    <n v="296"/>
    <s v="Electra Treasure 3i 20&quot;"/>
    <n v="1"/>
    <x v="4"/>
    <n v="1"/>
    <x v="2"/>
    <n v="369.99"/>
  </r>
  <r>
    <n v="297"/>
    <s v="Electra Under"/>
    <n v="1"/>
    <x v="4"/>
    <n v="1"/>
    <x v="2"/>
    <n v="279.99"/>
  </r>
  <r>
    <n v="298"/>
    <s v="Electra Water Lily 1 (16"/>
    <n v="1"/>
    <x v="4"/>
    <n v="1"/>
    <x v="2"/>
    <n v="279.99"/>
  </r>
  <r>
    <n v="299"/>
    <s v="Electra Townie Original 21D"/>
    <n v="1"/>
    <x v="4"/>
    <n v="2"/>
    <x v="2"/>
    <n v="559.99"/>
  </r>
  <r>
    <n v="300"/>
    <s v="Electra Townie Balloon 3i EQ Ladies'"/>
    <n v="1"/>
    <x v="4"/>
    <n v="2"/>
    <x v="2"/>
    <n v="799.99"/>
  </r>
  <r>
    <n v="301"/>
    <s v="Electra Townie Balloon 7i EQ"/>
    <n v="1"/>
    <x v="4"/>
    <n v="2"/>
    <x v="2"/>
    <n v="899.99"/>
  </r>
  <r>
    <n v="302"/>
    <s v="Electra Townie Original 1"/>
    <n v="1"/>
    <x v="4"/>
    <n v="2"/>
    <x v="2"/>
    <n v="449.99"/>
  </r>
  <r>
    <n v="303"/>
    <s v="Electra Townie Go! 8i"/>
    <n v="1"/>
    <x v="4"/>
    <n v="2"/>
    <x v="2"/>
    <n v="2599.9899999999998"/>
  </r>
  <r>
    <n v="304"/>
    <s v="Electra Townie Original 21D EQ"/>
    <n v="1"/>
    <x v="4"/>
    <n v="2"/>
    <x v="2"/>
    <n v="679.99"/>
  </r>
  <r>
    <n v="305"/>
    <s v="Electra Townie Balloon 3i EQ"/>
    <n v="1"/>
    <x v="4"/>
    <n v="2"/>
    <x v="2"/>
    <n v="749.99"/>
  </r>
  <r>
    <n v="306"/>
    <s v="Electra Townie Balloon 7i EQ Ladies'"/>
    <n v="1"/>
    <x v="4"/>
    <n v="2"/>
    <x v="2"/>
    <n v="899.99"/>
  </r>
  <r>
    <n v="307"/>
    <s v="Electra Townie Balloon 8D EQ"/>
    <n v="1"/>
    <x v="4"/>
    <n v="2"/>
    <x v="2"/>
    <n v="749.99"/>
  </r>
  <r>
    <n v="308"/>
    <s v="Electra Townie Balloon 8D EQ Ladies'"/>
    <n v="1"/>
    <x v="4"/>
    <n v="2"/>
    <x v="2"/>
    <n v="749.99"/>
  </r>
  <r>
    <n v="309"/>
    <s v="Electra Townie Commute 27D"/>
    <n v="1"/>
    <x v="4"/>
    <n v="2"/>
    <x v="2"/>
    <n v="899.99"/>
  </r>
  <r>
    <n v="310"/>
    <s v="Electra Townie Commute 27D Ladies"/>
    <n v="1"/>
    <x v="4"/>
    <n v="2"/>
    <x v="2"/>
    <n v="899.99"/>
  </r>
  <r>
    <n v="311"/>
    <s v="Electra Townie Commute 8D"/>
    <n v="1"/>
    <x v="4"/>
    <n v="2"/>
    <x v="2"/>
    <n v="749.99"/>
  </r>
  <r>
    <n v="312"/>
    <s v="Electra Townie Commute 8D Ladies'"/>
    <n v="1"/>
    <x v="4"/>
    <n v="2"/>
    <x v="2"/>
    <n v="699.99"/>
  </r>
  <r>
    <n v="313"/>
    <s v="Electra Townie Original 1 Ladies'"/>
    <n v="1"/>
    <x v="4"/>
    <n v="2"/>
    <x v="2"/>
    <n v="449.99"/>
  </r>
  <r>
    <n v="314"/>
    <s v="Electra Townie Original 21D EQ Ladies'"/>
    <n v="1"/>
    <x v="4"/>
    <n v="2"/>
    <x v="2"/>
    <n v="679.99"/>
  </r>
  <r>
    <n v="315"/>
    <s v="Electra Townie Original 21D Ladies'"/>
    <n v="1"/>
    <x v="4"/>
    <n v="2"/>
    <x v="2"/>
    <n v="559.99"/>
  </r>
  <r>
    <n v="316"/>
    <s v="Trek Checkpoint ALR 4 Women's"/>
    <n v="9"/>
    <x v="0"/>
    <n v="7"/>
    <x v="3"/>
    <n v="1699.99"/>
  </r>
  <r>
    <n v="317"/>
    <s v="Trek Checkpoint ALR 5"/>
    <n v="9"/>
    <x v="0"/>
    <n v="7"/>
    <x v="3"/>
    <n v="1999.99"/>
  </r>
  <r>
    <n v="318"/>
    <s v="Trek Checkpoint ALR 5 Women's"/>
    <n v="9"/>
    <x v="0"/>
    <n v="7"/>
    <x v="3"/>
    <n v="1999.99"/>
  </r>
  <r>
    <n v="319"/>
    <s v="Trek Checkpoint SL 5 Women's"/>
    <n v="9"/>
    <x v="0"/>
    <n v="7"/>
    <x v="3"/>
    <n v="2799.99"/>
  </r>
  <r>
    <n v="320"/>
    <s v="Trek Checkpoint SL 6"/>
    <n v="9"/>
    <x v="0"/>
    <n v="7"/>
    <x v="3"/>
    <n v="3799.99"/>
  </r>
  <r>
    <n v="321"/>
    <s v="Trek Checkpoint ALR Frameset"/>
    <n v="9"/>
    <x v="0"/>
    <n v="7"/>
    <x v="3"/>
    <n v="31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35493-69EF-4F09-8934-DC378D48AEF4}"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1:B11" firstHeaderRow="1" firstDataRow="1" firstDataCol="1"/>
  <pivotFields count="7">
    <pivotField dataField="1" showAll="0"/>
    <pivotField showAll="0"/>
    <pivotField showAll="0"/>
    <pivotField axis="axisRow" showAll="0" sortType="descending">
      <items count="10">
        <item x="4"/>
        <item x="7"/>
        <item x="3"/>
        <item x="5"/>
        <item x="1"/>
        <item x="8"/>
        <item x="6"/>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s>
  <rowFields count="1">
    <field x="3"/>
  </rowFields>
  <rowItems count="10">
    <i>
      <x v="8"/>
    </i>
    <i>
      <x/>
    </i>
    <i>
      <x v="7"/>
    </i>
    <i>
      <x v="6"/>
    </i>
    <i>
      <x v="1"/>
    </i>
    <i>
      <x v="5"/>
    </i>
    <i>
      <x v="2"/>
    </i>
    <i>
      <x v="3"/>
    </i>
    <i>
      <x v="4"/>
    </i>
    <i t="grand">
      <x/>
    </i>
  </rowItems>
  <colItems count="1">
    <i/>
  </colItems>
  <dataFields count="1">
    <dataField name="Number of products" fld="0" subtotal="count" baseField="3"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C1E55-78E5-400C-BDBF-4D3E1D0F3C1A}"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13:B23" firstHeaderRow="1" firstDataRow="1" firstDataCol="1"/>
  <pivotFields count="7">
    <pivotField showAll="0"/>
    <pivotField showAll="0"/>
    <pivotField showAll="0"/>
    <pivotField axis="axisRow" showAll="0" sortType="descending">
      <items count="10">
        <item x="4"/>
        <item x="7"/>
        <item x="3"/>
        <item x="5"/>
        <item x="1"/>
        <item x="8"/>
        <item x="6"/>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dataField="1" showAll="0"/>
  </pivotFields>
  <rowFields count="1">
    <field x="3"/>
  </rowFields>
  <rowItems count="10">
    <i>
      <x v="8"/>
    </i>
    <i>
      <x v="2"/>
    </i>
    <i>
      <x v="7"/>
    </i>
    <i>
      <x/>
    </i>
    <i>
      <x v="4"/>
    </i>
    <i>
      <x v="1"/>
    </i>
    <i>
      <x v="6"/>
    </i>
    <i>
      <x v="3"/>
    </i>
    <i>
      <x v="5"/>
    </i>
    <i t="grand">
      <x/>
    </i>
  </rowItems>
  <colItems count="1">
    <i/>
  </colItems>
  <dataFields count="1">
    <dataField name="Average of list_price" fld="6" subtotal="average" baseField="3" baseItem="0" numFmtId="164"/>
  </dataFields>
  <formats count="2">
    <format dxfId="45">
      <pivotArea collapsedLevelsAreSubtotals="1" fieldPosition="0">
        <references count="1">
          <reference field="3" count="1">
            <x v="0"/>
          </reference>
        </references>
      </pivotArea>
    </format>
    <format dxfId="4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DE790768-1374-4189-A91A-39D3C8F037C7}" sourceName="model_year">
  <pivotTables>
    <pivotTable tabId="4" name="PivotTable1"/>
    <pivotTable tabId="4" name="PivotTable3"/>
  </pivotTables>
  <data>
    <tabular pivotCacheId="2872881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_year" xr10:uid="{40884F82-9B86-4F5F-BE4F-4D7654636A16}" cache="Slicer_model_year" caption="model_yea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3C25-C5FF-4E2A-952A-89DD541CD1D6}">
  <dimension ref="A1:H322"/>
  <sheetViews>
    <sheetView workbookViewId="0">
      <selection activeCell="H9" sqref="H9"/>
    </sheetView>
  </sheetViews>
  <sheetFormatPr defaultRowHeight="15"/>
  <cols>
    <col min="1" max="1" width="12.85546875" bestFit="1" customWidth="1"/>
    <col min="2" max="2" width="49.7109375" bestFit="1" customWidth="1"/>
    <col min="3" max="3" width="11.140625" bestFit="1" customWidth="1"/>
    <col min="4" max="4" width="14.42578125" bestFit="1" customWidth="1"/>
    <col min="5" max="5" width="13.5703125" bestFit="1" customWidth="1"/>
    <col min="6" max="6" width="13.85546875" bestFit="1" customWidth="1"/>
    <col min="7" max="7" width="11.42578125" bestFit="1" customWidth="1"/>
  </cols>
  <sheetData>
    <row r="1" spans="1:8">
      <c r="A1" t="s">
        <v>0</v>
      </c>
      <c r="B1" t="s">
        <v>1</v>
      </c>
      <c r="C1" t="s">
        <v>2</v>
      </c>
      <c r="D1" t="s">
        <v>6</v>
      </c>
      <c r="E1" t="s">
        <v>3</v>
      </c>
      <c r="F1" t="s">
        <v>4</v>
      </c>
      <c r="G1" t="s">
        <v>5</v>
      </c>
    </row>
    <row r="2" spans="1:8">
      <c r="A2">
        <v>1</v>
      </c>
      <c r="B2" t="s">
        <v>50</v>
      </c>
      <c r="C2">
        <v>9</v>
      </c>
      <c r="D2" s="1" t="str">
        <f>_xlfn.XLOOKUP(C2, Brands!A:A, Brands!B:B)</f>
        <v>Trek</v>
      </c>
      <c r="E2">
        <v>6</v>
      </c>
      <c r="F2">
        <v>2016</v>
      </c>
      <c r="G2" s="12">
        <v>379.99</v>
      </c>
      <c r="H2" s="3"/>
    </row>
    <row r="3" spans="1:8">
      <c r="A3">
        <v>2</v>
      </c>
      <c r="B3" t="s">
        <v>51</v>
      </c>
      <c r="C3">
        <v>5</v>
      </c>
      <c r="D3" s="1" t="str">
        <f>_xlfn.XLOOKUP(C3, Brands!A:A, Brands!B:B)</f>
        <v>Ritchey</v>
      </c>
      <c r="E3">
        <v>6</v>
      </c>
      <c r="F3">
        <v>2016</v>
      </c>
      <c r="G3" s="12">
        <v>749.99</v>
      </c>
    </row>
    <row r="4" spans="1:8">
      <c r="A4">
        <v>3</v>
      </c>
      <c r="B4" t="s">
        <v>52</v>
      </c>
      <c r="C4">
        <v>8</v>
      </c>
      <c r="D4" s="1" t="str">
        <f>_xlfn.XLOOKUP(C4, Brands!A:A, Brands!B:B)</f>
        <v>Surly</v>
      </c>
      <c r="E4">
        <v>6</v>
      </c>
      <c r="F4">
        <v>2016</v>
      </c>
      <c r="G4" s="12">
        <v>999.99</v>
      </c>
    </row>
    <row r="5" spans="1:8">
      <c r="A5">
        <v>4</v>
      </c>
      <c r="B5" t="s">
        <v>53</v>
      </c>
      <c r="C5">
        <v>9</v>
      </c>
      <c r="D5" s="1" t="str">
        <f>_xlfn.XLOOKUP(C5, Brands!A:A, Brands!B:B)</f>
        <v>Trek</v>
      </c>
      <c r="E5">
        <v>6</v>
      </c>
      <c r="F5">
        <v>2016</v>
      </c>
      <c r="G5" s="12">
        <v>2899.99</v>
      </c>
    </row>
    <row r="6" spans="1:8">
      <c r="A6">
        <v>5</v>
      </c>
      <c r="B6" t="s">
        <v>54</v>
      </c>
      <c r="C6">
        <v>3</v>
      </c>
      <c r="D6" s="1" t="str">
        <f>_xlfn.XLOOKUP(C6, Brands!A:A, Brands!B:B)</f>
        <v>Heller</v>
      </c>
      <c r="E6">
        <v>6</v>
      </c>
      <c r="F6">
        <v>2016</v>
      </c>
      <c r="G6" s="12">
        <v>1320.99</v>
      </c>
    </row>
    <row r="7" spans="1:8">
      <c r="A7">
        <v>6</v>
      </c>
      <c r="B7" t="s">
        <v>55</v>
      </c>
      <c r="C7">
        <v>8</v>
      </c>
      <c r="D7" s="1" t="str">
        <f>_xlfn.XLOOKUP(C7, Brands!A:A, Brands!B:B)</f>
        <v>Surly</v>
      </c>
      <c r="E7">
        <v>6</v>
      </c>
      <c r="F7">
        <v>2016</v>
      </c>
      <c r="G7" s="12">
        <v>469.99</v>
      </c>
    </row>
    <row r="8" spans="1:8">
      <c r="A8">
        <v>7</v>
      </c>
      <c r="B8" t="s">
        <v>56</v>
      </c>
      <c r="C8">
        <v>9</v>
      </c>
      <c r="D8" s="1" t="str">
        <f>_xlfn.XLOOKUP(C8, Brands!A:A, Brands!B:B)</f>
        <v>Trek</v>
      </c>
      <c r="E8">
        <v>6</v>
      </c>
      <c r="F8">
        <v>2016</v>
      </c>
      <c r="G8" s="12">
        <v>3999.99</v>
      </c>
    </row>
    <row r="9" spans="1:8">
      <c r="A9">
        <v>8</v>
      </c>
      <c r="B9" t="s">
        <v>57</v>
      </c>
      <c r="C9">
        <v>9</v>
      </c>
      <c r="D9" s="1" t="str">
        <f>_xlfn.XLOOKUP(C9, Brands!A:A, Brands!B:B)</f>
        <v>Trek</v>
      </c>
      <c r="E9">
        <v>6</v>
      </c>
      <c r="F9">
        <v>2016</v>
      </c>
      <c r="G9" s="12">
        <v>1799.99</v>
      </c>
    </row>
    <row r="10" spans="1:8">
      <c r="A10">
        <v>9</v>
      </c>
      <c r="B10" t="s">
        <v>58</v>
      </c>
      <c r="C10">
        <v>9</v>
      </c>
      <c r="D10" s="1" t="str">
        <f>_xlfn.XLOOKUP(C10, Brands!A:A, Brands!B:B)</f>
        <v>Trek</v>
      </c>
      <c r="E10">
        <v>5</v>
      </c>
      <c r="F10">
        <v>2016</v>
      </c>
      <c r="G10" s="12">
        <v>2999.99</v>
      </c>
    </row>
    <row r="11" spans="1:8">
      <c r="A11">
        <v>10</v>
      </c>
      <c r="B11" t="s">
        <v>59</v>
      </c>
      <c r="C11">
        <v>8</v>
      </c>
      <c r="D11" s="1" t="str">
        <f>_xlfn.XLOOKUP(C11, Brands!A:A, Brands!B:B)</f>
        <v>Surly</v>
      </c>
      <c r="E11">
        <v>4</v>
      </c>
      <c r="F11">
        <v>2016</v>
      </c>
      <c r="G11" s="12">
        <v>1549</v>
      </c>
    </row>
    <row r="12" spans="1:8">
      <c r="A12">
        <v>11</v>
      </c>
      <c r="B12" t="s">
        <v>60</v>
      </c>
      <c r="C12">
        <v>8</v>
      </c>
      <c r="D12" s="1" t="str">
        <f>_xlfn.XLOOKUP(C12, Brands!A:A, Brands!B:B)</f>
        <v>Surly</v>
      </c>
      <c r="E12">
        <v>4</v>
      </c>
      <c r="F12">
        <v>2016</v>
      </c>
      <c r="G12" s="12">
        <v>1680.99</v>
      </c>
    </row>
    <row r="13" spans="1:8">
      <c r="A13">
        <v>12</v>
      </c>
      <c r="B13" t="s">
        <v>61</v>
      </c>
      <c r="C13">
        <v>1</v>
      </c>
      <c r="D13" s="1" t="str">
        <f>_xlfn.XLOOKUP(C13, Brands!A:A, Brands!B:B)</f>
        <v>Electra</v>
      </c>
      <c r="E13">
        <v>3</v>
      </c>
      <c r="F13">
        <v>2016</v>
      </c>
      <c r="G13" s="12">
        <v>549.99</v>
      </c>
    </row>
    <row r="14" spans="1:8">
      <c r="A14">
        <v>13</v>
      </c>
      <c r="B14" t="s">
        <v>16</v>
      </c>
      <c r="C14">
        <v>1</v>
      </c>
      <c r="D14" s="1" t="str">
        <f>_xlfn.XLOOKUP(C14, Brands!A:A, Brands!B:B)</f>
        <v>Electra</v>
      </c>
      <c r="E14">
        <v>3</v>
      </c>
      <c r="F14">
        <v>2016</v>
      </c>
      <c r="G14" s="12">
        <v>269.99</v>
      </c>
    </row>
    <row r="15" spans="1:8">
      <c r="A15">
        <v>14</v>
      </c>
      <c r="B15" t="s">
        <v>17</v>
      </c>
      <c r="C15">
        <v>1</v>
      </c>
      <c r="D15" s="1" t="str">
        <f>_xlfn.XLOOKUP(C15, Brands!A:A, Brands!B:B)</f>
        <v>Electra</v>
      </c>
      <c r="E15">
        <v>3</v>
      </c>
      <c r="F15">
        <v>2016</v>
      </c>
      <c r="G15" s="12">
        <v>269.99</v>
      </c>
    </row>
    <row r="16" spans="1:8">
      <c r="A16">
        <v>15</v>
      </c>
      <c r="B16" t="s">
        <v>62</v>
      </c>
      <c r="C16">
        <v>1</v>
      </c>
      <c r="D16" s="1" t="str">
        <f>_xlfn.XLOOKUP(C16, Brands!A:A, Brands!B:B)</f>
        <v>Electra</v>
      </c>
      <c r="E16">
        <v>3</v>
      </c>
      <c r="F16">
        <v>2016</v>
      </c>
      <c r="G16" s="12">
        <v>529.99</v>
      </c>
    </row>
    <row r="17" spans="1:7">
      <c r="A17">
        <v>16</v>
      </c>
      <c r="B17" t="s">
        <v>63</v>
      </c>
      <c r="C17">
        <v>1</v>
      </c>
      <c r="D17" s="1" t="str">
        <f>_xlfn.XLOOKUP(C17, Brands!A:A, Brands!B:B)</f>
        <v>Electra</v>
      </c>
      <c r="E17">
        <v>3</v>
      </c>
      <c r="F17">
        <v>2016</v>
      </c>
      <c r="G17" s="12">
        <v>599.99</v>
      </c>
    </row>
    <row r="18" spans="1:7">
      <c r="A18">
        <v>17</v>
      </c>
      <c r="B18" t="s">
        <v>18</v>
      </c>
      <c r="C18">
        <v>4</v>
      </c>
      <c r="D18" s="1" t="str">
        <f>_xlfn.XLOOKUP(C18, Brands!A:A, Brands!B:B)</f>
        <v>Pure Cycles</v>
      </c>
      <c r="E18">
        <v>3</v>
      </c>
      <c r="F18">
        <v>2016</v>
      </c>
      <c r="G18" s="12">
        <v>429</v>
      </c>
    </row>
    <row r="19" spans="1:7">
      <c r="A19">
        <v>18</v>
      </c>
      <c r="B19" t="s">
        <v>19</v>
      </c>
      <c r="C19">
        <v>4</v>
      </c>
      <c r="D19" s="1" t="str">
        <f>_xlfn.XLOOKUP(C19, Brands!A:A, Brands!B:B)</f>
        <v>Pure Cycles</v>
      </c>
      <c r="E19">
        <v>3</v>
      </c>
      <c r="F19">
        <v>2016</v>
      </c>
      <c r="G19" s="12">
        <v>449</v>
      </c>
    </row>
    <row r="20" spans="1:7">
      <c r="A20">
        <v>19</v>
      </c>
      <c r="B20" t="s">
        <v>20</v>
      </c>
      <c r="C20">
        <v>4</v>
      </c>
      <c r="D20" s="1" t="str">
        <f>_xlfn.XLOOKUP(C20, Brands!A:A, Brands!B:B)</f>
        <v>Pure Cycles</v>
      </c>
      <c r="E20">
        <v>3</v>
      </c>
      <c r="F20">
        <v>2016</v>
      </c>
      <c r="G20" s="12">
        <v>449</v>
      </c>
    </row>
    <row r="21" spans="1:7">
      <c r="A21">
        <v>20</v>
      </c>
      <c r="B21" t="s">
        <v>63</v>
      </c>
      <c r="C21">
        <v>1</v>
      </c>
      <c r="D21" s="1" t="str">
        <f>_xlfn.XLOOKUP(C21, Brands!A:A, Brands!B:B)</f>
        <v>Electra</v>
      </c>
      <c r="E21">
        <v>3</v>
      </c>
      <c r="F21">
        <v>2016</v>
      </c>
      <c r="G21" s="12">
        <v>599.99</v>
      </c>
    </row>
    <row r="22" spans="1:7">
      <c r="A22">
        <v>21</v>
      </c>
      <c r="B22" t="s">
        <v>16</v>
      </c>
      <c r="C22">
        <v>1</v>
      </c>
      <c r="D22" s="1" t="str">
        <f>_xlfn.XLOOKUP(C22, Brands!A:A, Brands!B:B)</f>
        <v>Electra</v>
      </c>
      <c r="E22">
        <v>1</v>
      </c>
      <c r="F22">
        <v>2016</v>
      </c>
      <c r="G22" s="12">
        <v>269.99</v>
      </c>
    </row>
    <row r="23" spans="1:7">
      <c r="A23">
        <v>22</v>
      </c>
      <c r="B23" t="s">
        <v>17</v>
      </c>
      <c r="C23">
        <v>1</v>
      </c>
      <c r="D23" s="1" t="str">
        <f>_xlfn.XLOOKUP(C23, Brands!A:A, Brands!B:B)</f>
        <v>Electra</v>
      </c>
      <c r="E23">
        <v>1</v>
      </c>
      <c r="F23">
        <v>2016</v>
      </c>
      <c r="G23" s="12">
        <v>269.99</v>
      </c>
    </row>
    <row r="24" spans="1:7">
      <c r="A24">
        <v>23</v>
      </c>
      <c r="B24" t="s">
        <v>21</v>
      </c>
      <c r="C24">
        <v>1</v>
      </c>
      <c r="D24" s="1" t="str">
        <f>_xlfn.XLOOKUP(C24, Brands!A:A, Brands!B:B)</f>
        <v>Electra</v>
      </c>
      <c r="E24">
        <v>1</v>
      </c>
      <c r="F24">
        <v>2016</v>
      </c>
      <c r="G24" s="12">
        <v>299.99</v>
      </c>
    </row>
    <row r="25" spans="1:7">
      <c r="A25">
        <v>24</v>
      </c>
      <c r="B25" t="s">
        <v>61</v>
      </c>
      <c r="C25">
        <v>1</v>
      </c>
      <c r="D25" s="1" t="str">
        <f>_xlfn.XLOOKUP(C25, Brands!A:A, Brands!B:B)</f>
        <v>Electra</v>
      </c>
      <c r="E25">
        <v>2</v>
      </c>
      <c r="F25">
        <v>2016</v>
      </c>
      <c r="G25" s="12">
        <v>549.99</v>
      </c>
    </row>
    <row r="26" spans="1:7">
      <c r="A26">
        <v>25</v>
      </c>
      <c r="B26" t="s">
        <v>64</v>
      </c>
      <c r="C26">
        <v>1</v>
      </c>
      <c r="D26" s="1" t="str">
        <f>_xlfn.XLOOKUP(C26, Brands!A:A, Brands!B:B)</f>
        <v>Electra</v>
      </c>
      <c r="E26">
        <v>2</v>
      </c>
      <c r="F26">
        <v>2016</v>
      </c>
      <c r="G26" s="12">
        <v>499.99</v>
      </c>
    </row>
    <row r="27" spans="1:7">
      <c r="A27">
        <v>26</v>
      </c>
      <c r="B27" t="s">
        <v>63</v>
      </c>
      <c r="C27">
        <v>1</v>
      </c>
      <c r="D27" s="1" t="str">
        <f>_xlfn.XLOOKUP(C27, Brands!A:A, Brands!B:B)</f>
        <v>Electra</v>
      </c>
      <c r="E27">
        <v>2</v>
      </c>
      <c r="F27">
        <v>2016</v>
      </c>
      <c r="G27" s="12">
        <v>599.99</v>
      </c>
    </row>
    <row r="28" spans="1:7">
      <c r="A28">
        <v>27</v>
      </c>
      <c r="B28" t="s">
        <v>65</v>
      </c>
      <c r="C28">
        <v>8</v>
      </c>
      <c r="D28" s="1" t="str">
        <f>_xlfn.XLOOKUP(C28, Brands!A:A, Brands!B:B)</f>
        <v>Surly</v>
      </c>
      <c r="E28">
        <v>6</v>
      </c>
      <c r="F28">
        <v>2017</v>
      </c>
      <c r="G28" s="12">
        <v>999.99</v>
      </c>
    </row>
    <row r="29" spans="1:7">
      <c r="A29">
        <v>28</v>
      </c>
      <c r="B29" t="s">
        <v>66</v>
      </c>
      <c r="C29">
        <v>8</v>
      </c>
      <c r="D29" s="1" t="str">
        <f>_xlfn.XLOOKUP(C29, Brands!A:A, Brands!B:B)</f>
        <v>Surly</v>
      </c>
      <c r="E29">
        <v>6</v>
      </c>
      <c r="F29">
        <v>2017</v>
      </c>
      <c r="G29" s="12">
        <v>2499.9899999999998</v>
      </c>
    </row>
    <row r="30" spans="1:7">
      <c r="A30">
        <v>29</v>
      </c>
      <c r="B30" t="s">
        <v>22</v>
      </c>
      <c r="C30">
        <v>9</v>
      </c>
      <c r="D30" s="1" t="str">
        <f>_xlfn.XLOOKUP(C30, Brands!A:A, Brands!B:B)</f>
        <v>Trek</v>
      </c>
      <c r="E30">
        <v>6</v>
      </c>
      <c r="F30">
        <v>2017</v>
      </c>
      <c r="G30" s="12">
        <v>999.99</v>
      </c>
    </row>
    <row r="31" spans="1:7">
      <c r="A31">
        <v>30</v>
      </c>
      <c r="B31" t="s">
        <v>55</v>
      </c>
      <c r="C31">
        <v>8</v>
      </c>
      <c r="D31" s="1" t="str">
        <f>_xlfn.XLOOKUP(C31, Brands!A:A, Brands!B:B)</f>
        <v>Surly</v>
      </c>
      <c r="E31">
        <v>6</v>
      </c>
      <c r="F31">
        <v>2017</v>
      </c>
      <c r="G31" s="12">
        <v>999.99</v>
      </c>
    </row>
    <row r="32" spans="1:7">
      <c r="A32">
        <v>31</v>
      </c>
      <c r="B32" t="s">
        <v>67</v>
      </c>
      <c r="C32">
        <v>8</v>
      </c>
      <c r="D32" s="1" t="str">
        <f>_xlfn.XLOOKUP(C32, Brands!A:A, Brands!B:B)</f>
        <v>Surly</v>
      </c>
      <c r="E32">
        <v>6</v>
      </c>
      <c r="F32">
        <v>2017</v>
      </c>
      <c r="G32" s="12">
        <v>1632.99</v>
      </c>
    </row>
    <row r="33" spans="1:7">
      <c r="A33">
        <v>32</v>
      </c>
      <c r="B33" t="s">
        <v>68</v>
      </c>
      <c r="C33">
        <v>9</v>
      </c>
      <c r="D33" s="1" t="str">
        <f>_xlfn.XLOOKUP(C33, Brands!A:A, Brands!B:B)</f>
        <v>Trek</v>
      </c>
      <c r="E33">
        <v>6</v>
      </c>
      <c r="F33">
        <v>2017</v>
      </c>
      <c r="G33" s="12">
        <v>469.99</v>
      </c>
    </row>
    <row r="34" spans="1:7">
      <c r="A34">
        <v>33</v>
      </c>
      <c r="B34" t="s">
        <v>52</v>
      </c>
      <c r="C34">
        <v>8</v>
      </c>
      <c r="D34" s="1" t="str">
        <f>_xlfn.XLOOKUP(C34, Brands!A:A, Brands!B:B)</f>
        <v>Surly</v>
      </c>
      <c r="E34">
        <v>6</v>
      </c>
      <c r="F34">
        <v>2017</v>
      </c>
      <c r="G34" s="12">
        <v>469.99</v>
      </c>
    </row>
    <row r="35" spans="1:7">
      <c r="A35">
        <v>34</v>
      </c>
      <c r="B35" t="s">
        <v>69</v>
      </c>
      <c r="C35">
        <v>9</v>
      </c>
      <c r="D35" s="1" t="str">
        <f>_xlfn.XLOOKUP(C35, Brands!A:A, Brands!B:B)</f>
        <v>Trek</v>
      </c>
      <c r="E35">
        <v>6</v>
      </c>
      <c r="F35">
        <v>2017</v>
      </c>
      <c r="G35" s="12">
        <v>469.99</v>
      </c>
    </row>
    <row r="36" spans="1:7">
      <c r="A36">
        <v>35</v>
      </c>
      <c r="B36" t="s">
        <v>70</v>
      </c>
      <c r="C36">
        <v>7</v>
      </c>
      <c r="D36" s="1" t="str">
        <f>_xlfn.XLOOKUP(C36, Brands!A:A, Brands!B:B)</f>
        <v>Sun Bicycles</v>
      </c>
      <c r="E36">
        <v>6</v>
      </c>
      <c r="F36">
        <v>2017</v>
      </c>
      <c r="G36" s="12">
        <v>832.99</v>
      </c>
    </row>
    <row r="37" spans="1:7">
      <c r="A37">
        <v>36</v>
      </c>
      <c r="B37" t="s">
        <v>71</v>
      </c>
      <c r="C37">
        <v>8</v>
      </c>
      <c r="D37" s="1" t="str">
        <f>_xlfn.XLOOKUP(C37, Brands!A:A, Brands!B:B)</f>
        <v>Surly</v>
      </c>
      <c r="E37">
        <v>6</v>
      </c>
      <c r="F37">
        <v>2017</v>
      </c>
      <c r="G37" s="12">
        <v>832.99</v>
      </c>
    </row>
    <row r="38" spans="1:7">
      <c r="A38">
        <v>37</v>
      </c>
      <c r="B38" t="s">
        <v>72</v>
      </c>
      <c r="C38">
        <v>2</v>
      </c>
      <c r="D38" s="1" t="str">
        <f>_xlfn.XLOOKUP(C38, Brands!A:A, Brands!B:B)</f>
        <v>Haro</v>
      </c>
      <c r="E38">
        <v>6</v>
      </c>
      <c r="F38">
        <v>2017</v>
      </c>
      <c r="G38" s="12">
        <v>379.99</v>
      </c>
    </row>
    <row r="39" spans="1:7">
      <c r="A39">
        <v>38</v>
      </c>
      <c r="B39" t="s">
        <v>73</v>
      </c>
      <c r="C39">
        <v>2</v>
      </c>
      <c r="D39" s="1" t="str">
        <f>_xlfn.XLOOKUP(C39, Brands!A:A, Brands!B:B)</f>
        <v>Haro</v>
      </c>
      <c r="E39">
        <v>6</v>
      </c>
      <c r="F39">
        <v>2017</v>
      </c>
      <c r="G39" s="12">
        <v>549.99</v>
      </c>
    </row>
    <row r="40" spans="1:7">
      <c r="A40">
        <v>39</v>
      </c>
      <c r="B40" t="s">
        <v>74</v>
      </c>
      <c r="C40">
        <v>9</v>
      </c>
      <c r="D40" s="1" t="str">
        <f>_xlfn.XLOOKUP(C40, Brands!A:A, Brands!B:B)</f>
        <v>Trek</v>
      </c>
      <c r="E40">
        <v>6</v>
      </c>
      <c r="F40">
        <v>2017</v>
      </c>
      <c r="G40" s="12">
        <v>1499.99</v>
      </c>
    </row>
    <row r="41" spans="1:7">
      <c r="A41">
        <v>40</v>
      </c>
      <c r="B41" t="s">
        <v>75</v>
      </c>
      <c r="C41">
        <v>9</v>
      </c>
      <c r="D41" s="1" t="str">
        <f>_xlfn.XLOOKUP(C41, Brands!A:A, Brands!B:B)</f>
        <v>Trek</v>
      </c>
      <c r="E41">
        <v>6</v>
      </c>
      <c r="F41">
        <v>2017</v>
      </c>
      <c r="G41" s="12">
        <v>4999.99</v>
      </c>
    </row>
    <row r="42" spans="1:7">
      <c r="A42">
        <v>41</v>
      </c>
      <c r="B42" t="s">
        <v>76</v>
      </c>
      <c r="C42">
        <v>2</v>
      </c>
      <c r="D42" s="1" t="str">
        <f>_xlfn.XLOOKUP(C42, Brands!A:A, Brands!B:B)</f>
        <v>Haro</v>
      </c>
      <c r="E42">
        <v>6</v>
      </c>
      <c r="F42">
        <v>2017</v>
      </c>
      <c r="G42" s="12">
        <v>1469.99</v>
      </c>
    </row>
    <row r="43" spans="1:7">
      <c r="A43">
        <v>42</v>
      </c>
      <c r="B43" t="s">
        <v>77</v>
      </c>
      <c r="C43">
        <v>9</v>
      </c>
      <c r="D43" s="1" t="str">
        <f>_xlfn.XLOOKUP(C43, Brands!A:A, Brands!B:B)</f>
        <v>Trek</v>
      </c>
      <c r="E43">
        <v>6</v>
      </c>
      <c r="F43">
        <v>2017</v>
      </c>
      <c r="G43" s="12">
        <v>2299.9899999999998</v>
      </c>
    </row>
    <row r="44" spans="1:7">
      <c r="A44">
        <v>43</v>
      </c>
      <c r="B44" t="s">
        <v>78</v>
      </c>
      <c r="C44">
        <v>9</v>
      </c>
      <c r="D44" s="1" t="str">
        <f>_xlfn.XLOOKUP(C44, Brands!A:A, Brands!B:B)</f>
        <v>Trek</v>
      </c>
      <c r="E44">
        <v>6</v>
      </c>
      <c r="F44">
        <v>2017</v>
      </c>
      <c r="G44" s="12">
        <v>5299.99</v>
      </c>
    </row>
    <row r="45" spans="1:7">
      <c r="A45">
        <v>44</v>
      </c>
      <c r="B45" t="s">
        <v>79</v>
      </c>
      <c r="C45">
        <v>2</v>
      </c>
      <c r="D45" s="1" t="str">
        <f>_xlfn.XLOOKUP(C45, Brands!A:A, Brands!B:B)</f>
        <v>Haro</v>
      </c>
      <c r="E45">
        <v>6</v>
      </c>
      <c r="F45">
        <v>2017</v>
      </c>
      <c r="G45" s="12">
        <v>539.99</v>
      </c>
    </row>
    <row r="46" spans="1:7">
      <c r="A46">
        <v>45</v>
      </c>
      <c r="B46" t="s">
        <v>80</v>
      </c>
      <c r="C46">
        <v>2</v>
      </c>
      <c r="D46" s="1" t="str">
        <f>_xlfn.XLOOKUP(C46, Brands!A:A, Brands!B:B)</f>
        <v>Haro</v>
      </c>
      <c r="E46">
        <v>6</v>
      </c>
      <c r="F46">
        <v>2017</v>
      </c>
      <c r="G46" s="12">
        <v>869.99</v>
      </c>
    </row>
    <row r="47" spans="1:7">
      <c r="A47">
        <v>46</v>
      </c>
      <c r="B47" t="s">
        <v>81</v>
      </c>
      <c r="C47">
        <v>2</v>
      </c>
      <c r="D47" s="1" t="str">
        <f>_xlfn.XLOOKUP(C47, Brands!A:A, Brands!B:B)</f>
        <v>Haro</v>
      </c>
      <c r="E47">
        <v>6</v>
      </c>
      <c r="F47">
        <v>2017</v>
      </c>
      <c r="G47" s="12">
        <v>1409.99</v>
      </c>
    </row>
    <row r="48" spans="1:7">
      <c r="A48">
        <v>47</v>
      </c>
      <c r="B48" t="s">
        <v>82</v>
      </c>
      <c r="C48">
        <v>9</v>
      </c>
      <c r="D48" s="1" t="str">
        <f>_xlfn.XLOOKUP(C48, Brands!A:A, Brands!B:B)</f>
        <v>Trek</v>
      </c>
      <c r="E48">
        <v>6</v>
      </c>
      <c r="F48">
        <v>2017</v>
      </c>
      <c r="G48" s="12">
        <v>5299.99</v>
      </c>
    </row>
    <row r="49" spans="1:7">
      <c r="A49">
        <v>48</v>
      </c>
      <c r="B49" t="s">
        <v>83</v>
      </c>
      <c r="C49">
        <v>9</v>
      </c>
      <c r="D49" s="1" t="str">
        <f>_xlfn.XLOOKUP(C49, Brands!A:A, Brands!B:B)</f>
        <v>Trek</v>
      </c>
      <c r="E49">
        <v>7</v>
      </c>
      <c r="F49">
        <v>2017</v>
      </c>
      <c r="G49" s="12">
        <v>1499.99</v>
      </c>
    </row>
    <row r="50" spans="1:7">
      <c r="A50">
        <v>49</v>
      </c>
      <c r="B50" t="s">
        <v>84</v>
      </c>
      <c r="C50">
        <v>9</v>
      </c>
      <c r="D50" s="1" t="str">
        <f>_xlfn.XLOOKUP(C50, Brands!A:A, Brands!B:B)</f>
        <v>Trek</v>
      </c>
      <c r="E50">
        <v>7</v>
      </c>
      <c r="F50">
        <v>2017</v>
      </c>
      <c r="G50" s="12">
        <v>3499.99</v>
      </c>
    </row>
    <row r="51" spans="1:7">
      <c r="A51">
        <v>50</v>
      </c>
      <c r="B51" t="s">
        <v>85</v>
      </c>
      <c r="C51">
        <v>9</v>
      </c>
      <c r="D51" s="1" t="str">
        <f>_xlfn.XLOOKUP(C51, Brands!A:A, Brands!B:B)</f>
        <v>Trek</v>
      </c>
      <c r="E51">
        <v>7</v>
      </c>
      <c r="F51">
        <v>2017</v>
      </c>
      <c r="G51" s="12">
        <v>5999.99</v>
      </c>
    </row>
    <row r="52" spans="1:7">
      <c r="A52">
        <v>51</v>
      </c>
      <c r="B52" t="s">
        <v>86</v>
      </c>
      <c r="C52">
        <v>9</v>
      </c>
      <c r="D52" s="1" t="str">
        <f>_xlfn.XLOOKUP(C52, Brands!A:A, Brands!B:B)</f>
        <v>Trek</v>
      </c>
      <c r="E52">
        <v>7</v>
      </c>
      <c r="F52">
        <v>2017</v>
      </c>
      <c r="G52" s="12">
        <v>6499.99</v>
      </c>
    </row>
    <row r="53" spans="1:7">
      <c r="A53">
        <v>52</v>
      </c>
      <c r="B53" t="s">
        <v>87</v>
      </c>
      <c r="C53">
        <v>8</v>
      </c>
      <c r="D53" s="1" t="str">
        <f>_xlfn.XLOOKUP(C53, Brands!A:A, Brands!B:B)</f>
        <v>Surly</v>
      </c>
      <c r="E53">
        <v>7</v>
      </c>
      <c r="F53">
        <v>2017</v>
      </c>
      <c r="G53" s="12">
        <v>875.99</v>
      </c>
    </row>
    <row r="54" spans="1:7">
      <c r="A54">
        <v>53</v>
      </c>
      <c r="B54" t="s">
        <v>88</v>
      </c>
      <c r="C54">
        <v>8</v>
      </c>
      <c r="D54" s="1" t="str">
        <f>_xlfn.XLOOKUP(C54, Brands!A:A, Brands!B:B)</f>
        <v>Surly</v>
      </c>
      <c r="E54">
        <v>7</v>
      </c>
      <c r="F54">
        <v>2017</v>
      </c>
      <c r="G54" s="12">
        <v>749.99</v>
      </c>
    </row>
    <row r="55" spans="1:7">
      <c r="A55">
        <v>54</v>
      </c>
      <c r="B55" t="s">
        <v>89</v>
      </c>
      <c r="C55">
        <v>9</v>
      </c>
      <c r="D55" s="1" t="str">
        <f>_xlfn.XLOOKUP(C55, Brands!A:A, Brands!B:B)</f>
        <v>Trek</v>
      </c>
      <c r="E55">
        <v>7</v>
      </c>
      <c r="F55">
        <v>2017</v>
      </c>
      <c r="G55" s="12">
        <v>3199.99</v>
      </c>
    </row>
    <row r="56" spans="1:7">
      <c r="A56">
        <v>55</v>
      </c>
      <c r="B56" t="s">
        <v>90</v>
      </c>
      <c r="C56">
        <v>9</v>
      </c>
      <c r="D56" s="1" t="str">
        <f>_xlfn.XLOOKUP(C56, Brands!A:A, Brands!B:B)</f>
        <v>Trek</v>
      </c>
      <c r="E56">
        <v>7</v>
      </c>
      <c r="F56">
        <v>2017</v>
      </c>
      <c r="G56" s="12">
        <v>2699.99</v>
      </c>
    </row>
    <row r="57" spans="1:7">
      <c r="A57">
        <v>56</v>
      </c>
      <c r="B57" t="s">
        <v>91</v>
      </c>
      <c r="C57">
        <v>9</v>
      </c>
      <c r="D57" s="1" t="str">
        <f>_xlfn.XLOOKUP(C57, Brands!A:A, Brands!B:B)</f>
        <v>Trek</v>
      </c>
      <c r="E57">
        <v>7</v>
      </c>
      <c r="F57">
        <v>2017</v>
      </c>
      <c r="G57" s="12">
        <v>5499.99</v>
      </c>
    </row>
    <row r="58" spans="1:7">
      <c r="A58">
        <v>57</v>
      </c>
      <c r="B58" t="s">
        <v>92</v>
      </c>
      <c r="C58">
        <v>9</v>
      </c>
      <c r="D58" s="1" t="str">
        <f>_xlfn.XLOOKUP(C58, Brands!A:A, Brands!B:B)</f>
        <v>Trek</v>
      </c>
      <c r="E58">
        <v>7</v>
      </c>
      <c r="F58">
        <v>2017</v>
      </c>
      <c r="G58" s="12">
        <v>1999.99</v>
      </c>
    </row>
    <row r="59" spans="1:7">
      <c r="A59">
        <v>58</v>
      </c>
      <c r="B59" t="s">
        <v>93</v>
      </c>
      <c r="C59">
        <v>9</v>
      </c>
      <c r="D59" s="1" t="str">
        <f>_xlfn.XLOOKUP(C59, Brands!A:A, Brands!B:B)</f>
        <v>Trek</v>
      </c>
      <c r="E59">
        <v>7</v>
      </c>
      <c r="F59">
        <v>2017</v>
      </c>
      <c r="G59" s="12">
        <v>4999.99</v>
      </c>
    </row>
    <row r="60" spans="1:7">
      <c r="A60">
        <v>59</v>
      </c>
      <c r="B60" t="s">
        <v>94</v>
      </c>
      <c r="C60">
        <v>9</v>
      </c>
      <c r="D60" s="1" t="str">
        <f>_xlfn.XLOOKUP(C60, Brands!A:A, Brands!B:B)</f>
        <v>Trek</v>
      </c>
      <c r="E60">
        <v>7</v>
      </c>
      <c r="F60">
        <v>2017</v>
      </c>
      <c r="G60" s="12">
        <v>2599.9899999999998</v>
      </c>
    </row>
    <row r="61" spans="1:7">
      <c r="A61">
        <v>60</v>
      </c>
      <c r="B61" t="s">
        <v>95</v>
      </c>
      <c r="C61">
        <v>7</v>
      </c>
      <c r="D61" s="1" t="str">
        <f>_xlfn.XLOOKUP(C61, Brands!A:A, Brands!B:B)</f>
        <v>Sun Bicycles</v>
      </c>
      <c r="E61">
        <v>5</v>
      </c>
      <c r="F61">
        <v>2017</v>
      </c>
      <c r="G61" s="12">
        <v>1559.99</v>
      </c>
    </row>
    <row r="62" spans="1:7">
      <c r="A62">
        <v>61</v>
      </c>
      <c r="B62" t="s">
        <v>96</v>
      </c>
      <c r="C62">
        <v>9</v>
      </c>
      <c r="D62" s="1" t="str">
        <f>_xlfn.XLOOKUP(C62, Brands!A:A, Brands!B:B)</f>
        <v>Trek</v>
      </c>
      <c r="E62">
        <v>5</v>
      </c>
      <c r="F62">
        <v>2017</v>
      </c>
      <c r="G62" s="12">
        <v>4999.99</v>
      </c>
    </row>
    <row r="63" spans="1:7">
      <c r="A63">
        <v>62</v>
      </c>
      <c r="B63" t="s">
        <v>97</v>
      </c>
      <c r="C63">
        <v>9</v>
      </c>
      <c r="D63" s="1" t="str">
        <f>_xlfn.XLOOKUP(C63, Brands!A:A, Brands!B:B)</f>
        <v>Trek</v>
      </c>
      <c r="E63">
        <v>4</v>
      </c>
      <c r="F63">
        <v>2017</v>
      </c>
      <c r="G63" s="12">
        <v>3499.99</v>
      </c>
    </row>
    <row r="64" spans="1:7">
      <c r="A64">
        <v>63</v>
      </c>
      <c r="B64" t="s">
        <v>98</v>
      </c>
      <c r="C64">
        <v>9</v>
      </c>
      <c r="D64" s="1" t="str">
        <f>_xlfn.XLOOKUP(C64, Brands!A:A, Brands!B:B)</f>
        <v>Trek</v>
      </c>
      <c r="E64">
        <v>4</v>
      </c>
      <c r="F64">
        <v>2017</v>
      </c>
      <c r="G64" s="12">
        <v>3499.99</v>
      </c>
    </row>
    <row r="65" spans="1:7">
      <c r="A65">
        <v>64</v>
      </c>
      <c r="B65" t="s">
        <v>64</v>
      </c>
      <c r="C65">
        <v>1</v>
      </c>
      <c r="D65" s="1" t="str">
        <f>_xlfn.XLOOKUP(C65, Brands!A:A, Brands!B:B)</f>
        <v>Electra</v>
      </c>
      <c r="E65">
        <v>3</v>
      </c>
      <c r="F65">
        <v>2017</v>
      </c>
      <c r="G65" s="12">
        <v>489.99</v>
      </c>
    </row>
    <row r="66" spans="1:7">
      <c r="A66">
        <v>65</v>
      </c>
      <c r="B66" t="s">
        <v>23</v>
      </c>
      <c r="C66">
        <v>7</v>
      </c>
      <c r="D66" s="1" t="str">
        <f>_xlfn.XLOOKUP(C66, Brands!A:A, Brands!B:B)</f>
        <v>Sun Bicycles</v>
      </c>
      <c r="E66">
        <v>3</v>
      </c>
      <c r="F66">
        <v>2017</v>
      </c>
      <c r="G66" s="12">
        <v>346.99</v>
      </c>
    </row>
    <row r="67" spans="1:7">
      <c r="A67">
        <v>66</v>
      </c>
      <c r="B67" t="s">
        <v>99</v>
      </c>
      <c r="C67">
        <v>7</v>
      </c>
      <c r="D67" s="1" t="str">
        <f>_xlfn.XLOOKUP(C67, Brands!A:A, Brands!B:B)</f>
        <v>Sun Bicycles</v>
      </c>
      <c r="E67">
        <v>3</v>
      </c>
      <c r="F67">
        <v>2017</v>
      </c>
      <c r="G67" s="12">
        <v>250.99</v>
      </c>
    </row>
    <row r="68" spans="1:7">
      <c r="A68">
        <v>67</v>
      </c>
      <c r="B68" t="s">
        <v>99</v>
      </c>
      <c r="C68">
        <v>7</v>
      </c>
      <c r="D68" s="1" t="str">
        <f>_xlfn.XLOOKUP(C68, Brands!A:A, Brands!B:B)</f>
        <v>Sun Bicycles</v>
      </c>
      <c r="E68">
        <v>3</v>
      </c>
      <c r="F68">
        <v>2017</v>
      </c>
      <c r="G68" s="12">
        <v>250.99</v>
      </c>
    </row>
    <row r="69" spans="1:7">
      <c r="A69">
        <v>68</v>
      </c>
      <c r="B69" t="s">
        <v>100</v>
      </c>
      <c r="C69">
        <v>7</v>
      </c>
      <c r="D69" s="1" t="str">
        <f>_xlfn.XLOOKUP(C69, Brands!A:A, Brands!B:B)</f>
        <v>Sun Bicycles</v>
      </c>
      <c r="E69">
        <v>3</v>
      </c>
      <c r="F69">
        <v>2017</v>
      </c>
      <c r="G69" s="12">
        <v>449.99</v>
      </c>
    </row>
    <row r="70" spans="1:7">
      <c r="A70">
        <v>69</v>
      </c>
      <c r="B70" t="s">
        <v>101</v>
      </c>
      <c r="C70">
        <v>7</v>
      </c>
      <c r="D70" s="1" t="str">
        <f>_xlfn.XLOOKUP(C70, Brands!A:A, Brands!B:B)</f>
        <v>Sun Bicycles</v>
      </c>
      <c r="E70">
        <v>3</v>
      </c>
      <c r="F70">
        <v>2017</v>
      </c>
      <c r="G70" s="12">
        <v>416.99</v>
      </c>
    </row>
    <row r="71" spans="1:7">
      <c r="A71">
        <v>70</v>
      </c>
      <c r="B71" t="s">
        <v>102</v>
      </c>
      <c r="C71">
        <v>1</v>
      </c>
      <c r="D71" s="1" t="str">
        <f>_xlfn.XLOOKUP(C71, Brands!A:A, Brands!B:B)</f>
        <v>Electra</v>
      </c>
      <c r="E71">
        <v>3</v>
      </c>
      <c r="F71">
        <v>2017</v>
      </c>
      <c r="G71" s="12">
        <v>659.99</v>
      </c>
    </row>
    <row r="72" spans="1:7">
      <c r="A72">
        <v>71</v>
      </c>
      <c r="B72" t="s">
        <v>24</v>
      </c>
      <c r="C72">
        <v>7</v>
      </c>
      <c r="D72" s="1" t="str">
        <f>_xlfn.XLOOKUP(C72, Brands!A:A, Brands!B:B)</f>
        <v>Sun Bicycles</v>
      </c>
      <c r="E72">
        <v>3</v>
      </c>
      <c r="F72">
        <v>2017</v>
      </c>
      <c r="G72" s="12">
        <v>416.99</v>
      </c>
    </row>
    <row r="73" spans="1:7">
      <c r="A73">
        <v>72</v>
      </c>
      <c r="B73" t="s">
        <v>103</v>
      </c>
      <c r="C73">
        <v>7</v>
      </c>
      <c r="D73" s="1" t="str">
        <f>_xlfn.XLOOKUP(C73, Brands!A:A, Brands!B:B)</f>
        <v>Sun Bicycles</v>
      </c>
      <c r="E73">
        <v>3</v>
      </c>
      <c r="F73">
        <v>2017</v>
      </c>
      <c r="G73" s="12">
        <v>619.99</v>
      </c>
    </row>
    <row r="74" spans="1:7">
      <c r="A74">
        <v>73</v>
      </c>
      <c r="B74" t="s">
        <v>104</v>
      </c>
      <c r="C74">
        <v>7</v>
      </c>
      <c r="D74" s="1" t="str">
        <f>_xlfn.XLOOKUP(C74, Brands!A:A, Brands!B:B)</f>
        <v>Sun Bicycles</v>
      </c>
      <c r="E74">
        <v>3</v>
      </c>
      <c r="F74">
        <v>2017</v>
      </c>
      <c r="G74" s="12">
        <v>749.99</v>
      </c>
    </row>
    <row r="75" spans="1:7">
      <c r="A75">
        <v>74</v>
      </c>
      <c r="B75" t="s">
        <v>105</v>
      </c>
      <c r="C75">
        <v>1</v>
      </c>
      <c r="D75" s="1" t="str">
        <f>_xlfn.XLOOKUP(C75, Brands!A:A, Brands!B:B)</f>
        <v>Electra</v>
      </c>
      <c r="E75">
        <v>3</v>
      </c>
      <c r="F75">
        <v>2017</v>
      </c>
      <c r="G75" s="12">
        <v>439.99</v>
      </c>
    </row>
    <row r="76" spans="1:7">
      <c r="A76">
        <v>75</v>
      </c>
      <c r="B76" t="s">
        <v>106</v>
      </c>
      <c r="C76">
        <v>1</v>
      </c>
      <c r="D76" s="1" t="str">
        <f>_xlfn.XLOOKUP(C76, Brands!A:A, Brands!B:B)</f>
        <v>Electra</v>
      </c>
      <c r="E76">
        <v>3</v>
      </c>
      <c r="F76">
        <v>2017</v>
      </c>
      <c r="G76" s="12">
        <v>599.99</v>
      </c>
    </row>
    <row r="77" spans="1:7">
      <c r="A77">
        <v>76</v>
      </c>
      <c r="B77" t="s">
        <v>107</v>
      </c>
      <c r="C77">
        <v>1</v>
      </c>
      <c r="D77" s="1" t="str">
        <f>_xlfn.XLOOKUP(C77, Brands!A:A, Brands!B:B)</f>
        <v>Electra</v>
      </c>
      <c r="E77">
        <v>3</v>
      </c>
      <c r="F77">
        <v>2017</v>
      </c>
      <c r="G77" s="12">
        <v>299.99</v>
      </c>
    </row>
    <row r="78" spans="1:7">
      <c r="A78">
        <v>77</v>
      </c>
      <c r="B78" t="s">
        <v>108</v>
      </c>
      <c r="C78">
        <v>1</v>
      </c>
      <c r="D78" s="1" t="str">
        <f>_xlfn.XLOOKUP(C78, Brands!A:A, Brands!B:B)</f>
        <v>Electra</v>
      </c>
      <c r="E78">
        <v>3</v>
      </c>
      <c r="F78">
        <v>2017</v>
      </c>
      <c r="G78" s="12">
        <v>799.99</v>
      </c>
    </row>
    <row r="79" spans="1:7">
      <c r="A79">
        <v>78</v>
      </c>
      <c r="B79" t="s">
        <v>109</v>
      </c>
      <c r="C79">
        <v>7</v>
      </c>
      <c r="D79" s="1" t="str">
        <f>_xlfn.XLOOKUP(C79, Brands!A:A, Brands!B:B)</f>
        <v>Sun Bicycles</v>
      </c>
      <c r="E79">
        <v>3</v>
      </c>
      <c r="F79">
        <v>2017</v>
      </c>
      <c r="G79" s="12">
        <v>647.99</v>
      </c>
    </row>
    <row r="80" spans="1:7">
      <c r="A80">
        <v>79</v>
      </c>
      <c r="B80" t="s">
        <v>25</v>
      </c>
      <c r="C80">
        <v>7</v>
      </c>
      <c r="D80" s="1" t="str">
        <f>_xlfn.XLOOKUP(C80, Brands!A:A, Brands!B:B)</f>
        <v>Sun Bicycles</v>
      </c>
      <c r="E80">
        <v>3</v>
      </c>
      <c r="F80">
        <v>2017</v>
      </c>
      <c r="G80" s="12">
        <v>402.99</v>
      </c>
    </row>
    <row r="81" spans="1:7">
      <c r="A81">
        <v>80</v>
      </c>
      <c r="B81" t="s">
        <v>110</v>
      </c>
      <c r="C81">
        <v>7</v>
      </c>
      <c r="D81" s="1" t="str">
        <f>_xlfn.XLOOKUP(C81, Brands!A:A, Brands!B:B)</f>
        <v>Sun Bicycles</v>
      </c>
      <c r="E81">
        <v>3</v>
      </c>
      <c r="F81">
        <v>2017</v>
      </c>
      <c r="G81" s="12">
        <v>761.99</v>
      </c>
    </row>
    <row r="82" spans="1:7">
      <c r="A82">
        <v>81</v>
      </c>
      <c r="B82" t="s">
        <v>111</v>
      </c>
      <c r="C82">
        <v>1</v>
      </c>
      <c r="D82" s="1" t="str">
        <f>_xlfn.XLOOKUP(C82, Brands!A:A, Brands!B:B)</f>
        <v>Electra</v>
      </c>
      <c r="E82">
        <v>3</v>
      </c>
      <c r="F82">
        <v>2017</v>
      </c>
      <c r="G82" s="12">
        <v>1099.99</v>
      </c>
    </row>
    <row r="83" spans="1:7">
      <c r="A83">
        <v>82</v>
      </c>
      <c r="B83" t="s">
        <v>112</v>
      </c>
      <c r="C83">
        <v>1</v>
      </c>
      <c r="D83" s="1" t="str">
        <f>_xlfn.XLOOKUP(C83, Brands!A:A, Brands!B:B)</f>
        <v>Electra</v>
      </c>
      <c r="E83">
        <v>3</v>
      </c>
      <c r="F83">
        <v>2017</v>
      </c>
      <c r="G83" s="12">
        <v>659.99</v>
      </c>
    </row>
    <row r="84" spans="1:7">
      <c r="A84">
        <v>83</v>
      </c>
      <c r="B84" t="s">
        <v>113</v>
      </c>
      <c r="C84">
        <v>9</v>
      </c>
      <c r="D84" s="1" t="str">
        <f>_xlfn.XLOOKUP(C84, Brands!A:A, Brands!B:B)</f>
        <v>Trek</v>
      </c>
      <c r="E84">
        <v>1</v>
      </c>
      <c r="F84">
        <v>2017</v>
      </c>
      <c r="G84" s="12">
        <v>149.99</v>
      </c>
    </row>
    <row r="85" spans="1:7">
      <c r="A85">
        <v>84</v>
      </c>
      <c r="B85" t="s">
        <v>114</v>
      </c>
      <c r="C85">
        <v>7</v>
      </c>
      <c r="D85" s="1" t="str">
        <f>_xlfn.XLOOKUP(C85, Brands!A:A, Brands!B:B)</f>
        <v>Sun Bicycles</v>
      </c>
      <c r="E85">
        <v>1</v>
      </c>
      <c r="F85">
        <v>2017</v>
      </c>
      <c r="G85" s="12">
        <v>109.99</v>
      </c>
    </row>
    <row r="86" spans="1:7">
      <c r="A86">
        <v>85</v>
      </c>
      <c r="B86" t="s">
        <v>115</v>
      </c>
      <c r="C86">
        <v>2</v>
      </c>
      <c r="D86" s="1" t="str">
        <f>_xlfn.XLOOKUP(C86, Brands!A:A, Brands!B:B)</f>
        <v>Haro</v>
      </c>
      <c r="E86">
        <v>1</v>
      </c>
      <c r="F86">
        <v>2017</v>
      </c>
      <c r="G86" s="12">
        <v>329.99</v>
      </c>
    </row>
    <row r="87" spans="1:7">
      <c r="A87">
        <v>86</v>
      </c>
      <c r="B87" t="s">
        <v>116</v>
      </c>
      <c r="C87">
        <v>9</v>
      </c>
      <c r="D87" s="1" t="str">
        <f>_xlfn.XLOOKUP(C87, Brands!A:A, Brands!B:B)</f>
        <v>Trek</v>
      </c>
      <c r="E87">
        <v>1</v>
      </c>
      <c r="F87">
        <v>2017</v>
      </c>
      <c r="G87" s="12">
        <v>149.99</v>
      </c>
    </row>
    <row r="88" spans="1:7">
      <c r="A88">
        <v>87</v>
      </c>
      <c r="B88" t="s">
        <v>117</v>
      </c>
      <c r="C88">
        <v>9</v>
      </c>
      <c r="D88" s="1" t="str">
        <f>_xlfn.XLOOKUP(C88, Brands!A:A, Brands!B:B)</f>
        <v>Trek</v>
      </c>
      <c r="E88">
        <v>1</v>
      </c>
      <c r="F88">
        <v>2017</v>
      </c>
      <c r="G88" s="12">
        <v>189.99</v>
      </c>
    </row>
    <row r="89" spans="1:7">
      <c r="A89">
        <v>88</v>
      </c>
      <c r="B89" t="s">
        <v>118</v>
      </c>
      <c r="C89">
        <v>9</v>
      </c>
      <c r="D89" s="1" t="str">
        <f>_xlfn.XLOOKUP(C89, Brands!A:A, Brands!B:B)</f>
        <v>Trek</v>
      </c>
      <c r="E89">
        <v>1</v>
      </c>
      <c r="F89">
        <v>2017</v>
      </c>
      <c r="G89" s="12">
        <v>189.99</v>
      </c>
    </row>
    <row r="90" spans="1:7">
      <c r="A90">
        <v>89</v>
      </c>
      <c r="B90" t="s">
        <v>119</v>
      </c>
      <c r="C90">
        <v>9</v>
      </c>
      <c r="D90" s="1" t="str">
        <f>_xlfn.XLOOKUP(C90, Brands!A:A, Brands!B:B)</f>
        <v>Trek</v>
      </c>
      <c r="E90">
        <v>1</v>
      </c>
      <c r="F90">
        <v>2017</v>
      </c>
      <c r="G90" s="12">
        <v>209.99</v>
      </c>
    </row>
    <row r="91" spans="1:7">
      <c r="A91">
        <v>90</v>
      </c>
      <c r="B91" t="s">
        <v>120</v>
      </c>
      <c r="C91">
        <v>9</v>
      </c>
      <c r="D91" s="1" t="str">
        <f>_xlfn.XLOOKUP(C91, Brands!A:A, Brands!B:B)</f>
        <v>Trek</v>
      </c>
      <c r="E91">
        <v>1</v>
      </c>
      <c r="F91">
        <v>2017</v>
      </c>
      <c r="G91" s="12">
        <v>209.99</v>
      </c>
    </row>
    <row r="92" spans="1:7">
      <c r="A92">
        <v>91</v>
      </c>
      <c r="B92" t="s">
        <v>26</v>
      </c>
      <c r="C92">
        <v>9</v>
      </c>
      <c r="D92" s="1" t="str">
        <f>_xlfn.XLOOKUP(C92, Brands!A:A, Brands!B:B)</f>
        <v>Trek</v>
      </c>
      <c r="E92">
        <v>1</v>
      </c>
      <c r="F92">
        <v>2017</v>
      </c>
      <c r="G92" s="12">
        <v>349.99</v>
      </c>
    </row>
    <row r="93" spans="1:7">
      <c r="A93">
        <v>92</v>
      </c>
      <c r="B93" t="s">
        <v>121</v>
      </c>
      <c r="C93">
        <v>2</v>
      </c>
      <c r="D93" s="1" t="str">
        <f>_xlfn.XLOOKUP(C93, Brands!A:A, Brands!B:B)</f>
        <v>Haro</v>
      </c>
      <c r="E93">
        <v>1</v>
      </c>
      <c r="F93">
        <v>2017</v>
      </c>
      <c r="G93" s="12">
        <v>209.99</v>
      </c>
    </row>
    <row r="94" spans="1:7">
      <c r="A94">
        <v>93</v>
      </c>
      <c r="B94" t="s">
        <v>122</v>
      </c>
      <c r="C94">
        <v>2</v>
      </c>
      <c r="D94" s="1" t="str">
        <f>_xlfn.XLOOKUP(C94, Brands!A:A, Brands!B:B)</f>
        <v>Haro</v>
      </c>
      <c r="E94">
        <v>1</v>
      </c>
      <c r="F94">
        <v>2017</v>
      </c>
      <c r="G94" s="12">
        <v>209.99</v>
      </c>
    </row>
    <row r="95" spans="1:7">
      <c r="A95">
        <v>94</v>
      </c>
      <c r="B95" t="s">
        <v>123</v>
      </c>
      <c r="C95">
        <v>2</v>
      </c>
      <c r="D95" s="1" t="str">
        <f>_xlfn.XLOOKUP(C95, Brands!A:A, Brands!B:B)</f>
        <v>Haro</v>
      </c>
      <c r="E95">
        <v>1</v>
      </c>
      <c r="F95">
        <v>2017</v>
      </c>
      <c r="G95" s="12">
        <v>249.99</v>
      </c>
    </row>
    <row r="96" spans="1:7">
      <c r="A96">
        <v>95</v>
      </c>
      <c r="B96" t="s">
        <v>107</v>
      </c>
      <c r="C96">
        <v>1</v>
      </c>
      <c r="D96" s="1" t="str">
        <f>_xlfn.XLOOKUP(C96, Brands!A:A, Brands!B:B)</f>
        <v>Electra</v>
      </c>
      <c r="E96">
        <v>1</v>
      </c>
      <c r="F96">
        <v>2017</v>
      </c>
      <c r="G96" s="12">
        <v>299.99</v>
      </c>
    </row>
    <row r="97" spans="1:7">
      <c r="A97">
        <v>96</v>
      </c>
      <c r="B97" t="s">
        <v>27</v>
      </c>
      <c r="C97">
        <v>1</v>
      </c>
      <c r="D97" s="1" t="str">
        <f>_xlfn.XLOOKUP(C97, Brands!A:A, Brands!B:B)</f>
        <v>Electra</v>
      </c>
      <c r="E97">
        <v>1</v>
      </c>
      <c r="F97">
        <v>2017</v>
      </c>
      <c r="G97" s="12">
        <v>349.99</v>
      </c>
    </row>
    <row r="98" spans="1:7">
      <c r="A98">
        <v>97</v>
      </c>
      <c r="B98" t="s">
        <v>28</v>
      </c>
      <c r="C98">
        <v>1</v>
      </c>
      <c r="D98" s="1" t="str">
        <f>_xlfn.XLOOKUP(C98, Brands!A:A, Brands!B:B)</f>
        <v>Electra</v>
      </c>
      <c r="E98">
        <v>1</v>
      </c>
      <c r="F98">
        <v>2017</v>
      </c>
      <c r="G98" s="12">
        <v>349.99</v>
      </c>
    </row>
    <row r="99" spans="1:7">
      <c r="A99">
        <v>98</v>
      </c>
      <c r="B99" t="s">
        <v>29</v>
      </c>
      <c r="C99">
        <v>1</v>
      </c>
      <c r="D99" s="1" t="str">
        <f>_xlfn.XLOOKUP(C99, Brands!A:A, Brands!B:B)</f>
        <v>Electra</v>
      </c>
      <c r="E99">
        <v>1</v>
      </c>
      <c r="F99">
        <v>2017</v>
      </c>
      <c r="G99" s="12">
        <v>489.99</v>
      </c>
    </row>
    <row r="100" spans="1:7">
      <c r="A100">
        <v>99</v>
      </c>
      <c r="B100" t="s">
        <v>30</v>
      </c>
      <c r="C100">
        <v>1</v>
      </c>
      <c r="D100" s="1" t="str">
        <f>_xlfn.XLOOKUP(C100, Brands!A:A, Brands!B:B)</f>
        <v>Electra</v>
      </c>
      <c r="E100">
        <v>1</v>
      </c>
      <c r="F100">
        <v>2017</v>
      </c>
      <c r="G100" s="12">
        <v>299.99</v>
      </c>
    </row>
    <row r="101" spans="1:7">
      <c r="A101">
        <v>100</v>
      </c>
      <c r="B101" t="s">
        <v>31</v>
      </c>
      <c r="C101">
        <v>1</v>
      </c>
      <c r="D101" s="1" t="str">
        <f>_xlfn.XLOOKUP(C101, Brands!A:A, Brands!B:B)</f>
        <v>Electra</v>
      </c>
      <c r="E101">
        <v>1</v>
      </c>
      <c r="F101">
        <v>2017</v>
      </c>
      <c r="G101" s="12">
        <v>489.99</v>
      </c>
    </row>
    <row r="102" spans="1:7">
      <c r="A102">
        <v>101</v>
      </c>
      <c r="B102" t="s">
        <v>32</v>
      </c>
      <c r="C102">
        <v>1</v>
      </c>
      <c r="D102" s="1" t="str">
        <f>_xlfn.XLOOKUP(C102, Brands!A:A, Brands!B:B)</f>
        <v>Electra</v>
      </c>
      <c r="E102">
        <v>1</v>
      </c>
      <c r="F102">
        <v>2017</v>
      </c>
      <c r="G102" s="12">
        <v>339.99</v>
      </c>
    </row>
    <row r="103" spans="1:7">
      <c r="A103">
        <v>102</v>
      </c>
      <c r="B103" t="s">
        <v>64</v>
      </c>
      <c r="C103">
        <v>1</v>
      </c>
      <c r="D103" s="1" t="str">
        <f>_xlfn.XLOOKUP(C103, Brands!A:A, Brands!B:B)</f>
        <v>Electra</v>
      </c>
      <c r="E103">
        <v>2</v>
      </c>
      <c r="F103">
        <v>2017</v>
      </c>
      <c r="G103" s="12">
        <v>489.99</v>
      </c>
    </row>
    <row r="104" spans="1:7">
      <c r="A104">
        <v>103</v>
      </c>
      <c r="B104" t="s">
        <v>124</v>
      </c>
      <c r="C104">
        <v>7</v>
      </c>
      <c r="D104" s="1" t="str">
        <f>_xlfn.XLOOKUP(C104, Brands!A:A, Brands!B:B)</f>
        <v>Sun Bicycles</v>
      </c>
      <c r="E104">
        <v>2</v>
      </c>
      <c r="F104">
        <v>2017</v>
      </c>
      <c r="G104" s="12">
        <v>551.99</v>
      </c>
    </row>
    <row r="105" spans="1:7">
      <c r="A105">
        <v>104</v>
      </c>
      <c r="B105" t="s">
        <v>125</v>
      </c>
      <c r="C105">
        <v>7</v>
      </c>
      <c r="D105" s="1" t="str">
        <f>_xlfn.XLOOKUP(C105, Brands!A:A, Brands!B:B)</f>
        <v>Sun Bicycles</v>
      </c>
      <c r="E105">
        <v>2</v>
      </c>
      <c r="F105">
        <v>2017</v>
      </c>
      <c r="G105" s="12">
        <v>481.99</v>
      </c>
    </row>
    <row r="106" spans="1:7">
      <c r="A106">
        <v>105</v>
      </c>
      <c r="B106" t="s">
        <v>126</v>
      </c>
      <c r="C106">
        <v>7</v>
      </c>
      <c r="D106" s="1" t="str">
        <f>_xlfn.XLOOKUP(C106, Brands!A:A, Brands!B:B)</f>
        <v>Sun Bicycles</v>
      </c>
      <c r="E106">
        <v>2</v>
      </c>
      <c r="F106">
        <v>2017</v>
      </c>
      <c r="G106" s="12">
        <v>533.99</v>
      </c>
    </row>
    <row r="107" spans="1:7">
      <c r="A107">
        <v>106</v>
      </c>
      <c r="B107" t="s">
        <v>100</v>
      </c>
      <c r="C107">
        <v>7</v>
      </c>
      <c r="D107" s="1" t="str">
        <f>_xlfn.XLOOKUP(C107, Brands!A:A, Brands!B:B)</f>
        <v>Sun Bicycles</v>
      </c>
      <c r="E107">
        <v>2</v>
      </c>
      <c r="F107">
        <v>2017</v>
      </c>
      <c r="G107" s="12">
        <v>449.99</v>
      </c>
    </row>
    <row r="108" spans="1:7">
      <c r="A108">
        <v>107</v>
      </c>
      <c r="B108" t="s">
        <v>101</v>
      </c>
      <c r="C108">
        <v>7</v>
      </c>
      <c r="D108" s="1" t="str">
        <f>_xlfn.XLOOKUP(C108, Brands!A:A, Brands!B:B)</f>
        <v>Sun Bicycles</v>
      </c>
      <c r="E108">
        <v>2</v>
      </c>
      <c r="F108">
        <v>2017</v>
      </c>
      <c r="G108" s="12">
        <v>416.99</v>
      </c>
    </row>
    <row r="109" spans="1:7">
      <c r="A109">
        <v>108</v>
      </c>
      <c r="B109" t="s">
        <v>100</v>
      </c>
      <c r="C109">
        <v>7</v>
      </c>
      <c r="D109" s="1" t="str">
        <f>_xlfn.XLOOKUP(C109, Brands!A:A, Brands!B:B)</f>
        <v>Sun Bicycles</v>
      </c>
      <c r="E109">
        <v>2</v>
      </c>
      <c r="F109">
        <v>2017</v>
      </c>
      <c r="G109" s="12">
        <v>449.99</v>
      </c>
    </row>
    <row r="110" spans="1:7">
      <c r="A110">
        <v>109</v>
      </c>
      <c r="B110" t="s">
        <v>101</v>
      </c>
      <c r="C110">
        <v>7</v>
      </c>
      <c r="D110" s="1" t="str">
        <f>_xlfn.XLOOKUP(C110, Brands!A:A, Brands!B:B)</f>
        <v>Sun Bicycles</v>
      </c>
      <c r="E110">
        <v>2</v>
      </c>
      <c r="F110">
        <v>2017</v>
      </c>
      <c r="G110" s="12">
        <v>416.99</v>
      </c>
    </row>
    <row r="111" spans="1:7">
      <c r="A111">
        <v>110</v>
      </c>
      <c r="B111" t="s">
        <v>127</v>
      </c>
      <c r="C111">
        <v>7</v>
      </c>
      <c r="D111" s="1" t="str">
        <f>_xlfn.XLOOKUP(C111, Brands!A:A, Brands!B:B)</f>
        <v>Sun Bicycles</v>
      </c>
      <c r="E111">
        <v>2</v>
      </c>
      <c r="F111">
        <v>2017</v>
      </c>
      <c r="G111" s="12">
        <v>470.99</v>
      </c>
    </row>
    <row r="112" spans="1:7">
      <c r="A112">
        <v>111</v>
      </c>
      <c r="B112" t="s">
        <v>127</v>
      </c>
      <c r="C112">
        <v>7</v>
      </c>
      <c r="D112" s="1" t="str">
        <f>_xlfn.XLOOKUP(C112, Brands!A:A, Brands!B:B)</f>
        <v>Sun Bicycles</v>
      </c>
      <c r="E112">
        <v>2</v>
      </c>
      <c r="F112">
        <v>2017</v>
      </c>
      <c r="G112" s="12">
        <v>470.99</v>
      </c>
    </row>
    <row r="113" spans="1:7">
      <c r="A113">
        <v>112</v>
      </c>
      <c r="B113" t="s">
        <v>50</v>
      </c>
      <c r="C113">
        <v>9</v>
      </c>
      <c r="D113" s="1" t="str">
        <f>_xlfn.XLOOKUP(C113, Brands!A:A, Brands!B:B)</f>
        <v>Trek</v>
      </c>
      <c r="E113">
        <v>6</v>
      </c>
      <c r="F113">
        <v>2018</v>
      </c>
      <c r="G113" s="12">
        <v>379.99</v>
      </c>
    </row>
    <row r="114" spans="1:7">
      <c r="A114">
        <v>113</v>
      </c>
      <c r="B114" t="s">
        <v>128</v>
      </c>
      <c r="C114">
        <v>9</v>
      </c>
      <c r="D114" s="1" t="str">
        <f>_xlfn.XLOOKUP(C114, Brands!A:A, Brands!B:B)</f>
        <v>Trek</v>
      </c>
      <c r="E114">
        <v>6</v>
      </c>
      <c r="F114">
        <v>2018</v>
      </c>
      <c r="G114" s="12">
        <v>489.99</v>
      </c>
    </row>
    <row r="115" spans="1:7">
      <c r="A115">
        <v>114</v>
      </c>
      <c r="B115" t="s">
        <v>129</v>
      </c>
      <c r="C115">
        <v>9</v>
      </c>
      <c r="D115" s="1" t="str">
        <f>_xlfn.XLOOKUP(C115, Brands!A:A, Brands!B:B)</f>
        <v>Trek</v>
      </c>
      <c r="E115">
        <v>6</v>
      </c>
      <c r="F115">
        <v>2018</v>
      </c>
      <c r="G115" s="12">
        <v>579.99</v>
      </c>
    </row>
    <row r="116" spans="1:7">
      <c r="A116">
        <v>115</v>
      </c>
      <c r="B116" t="s">
        <v>53</v>
      </c>
      <c r="C116">
        <v>9</v>
      </c>
      <c r="D116" s="1" t="str">
        <f>_xlfn.XLOOKUP(C116, Brands!A:A, Brands!B:B)</f>
        <v>Trek</v>
      </c>
      <c r="E116">
        <v>6</v>
      </c>
      <c r="F116">
        <v>2018</v>
      </c>
      <c r="G116" s="12">
        <v>3199.99</v>
      </c>
    </row>
    <row r="117" spans="1:7">
      <c r="A117">
        <v>116</v>
      </c>
      <c r="B117" t="s">
        <v>130</v>
      </c>
      <c r="C117">
        <v>9</v>
      </c>
      <c r="D117" s="1" t="str">
        <f>_xlfn.XLOOKUP(C117, Brands!A:A, Brands!B:B)</f>
        <v>Trek</v>
      </c>
      <c r="E117">
        <v>6</v>
      </c>
      <c r="F117">
        <v>2018</v>
      </c>
      <c r="G117" s="12">
        <v>749.99</v>
      </c>
    </row>
    <row r="118" spans="1:7">
      <c r="A118">
        <v>117</v>
      </c>
      <c r="B118" t="s">
        <v>131</v>
      </c>
      <c r="C118">
        <v>9</v>
      </c>
      <c r="D118" s="1" t="str">
        <f>_xlfn.XLOOKUP(C118, Brands!A:A, Brands!B:B)</f>
        <v>Trek</v>
      </c>
      <c r="E118">
        <v>6</v>
      </c>
      <c r="F118">
        <v>2018</v>
      </c>
      <c r="G118" s="12">
        <v>1469.99</v>
      </c>
    </row>
    <row r="119" spans="1:7">
      <c r="A119">
        <v>118</v>
      </c>
      <c r="B119" t="s">
        <v>22</v>
      </c>
      <c r="C119">
        <v>9</v>
      </c>
      <c r="D119" s="1" t="str">
        <f>_xlfn.XLOOKUP(C119, Brands!A:A, Brands!B:B)</f>
        <v>Trek</v>
      </c>
      <c r="E119">
        <v>6</v>
      </c>
      <c r="F119">
        <v>2018</v>
      </c>
      <c r="G119" s="12">
        <v>999.99</v>
      </c>
    </row>
    <row r="120" spans="1:7">
      <c r="A120">
        <v>119</v>
      </c>
      <c r="B120" t="s">
        <v>132</v>
      </c>
      <c r="C120">
        <v>9</v>
      </c>
      <c r="D120" s="1" t="str">
        <f>_xlfn.XLOOKUP(C120, Brands!A:A, Brands!B:B)</f>
        <v>Trek</v>
      </c>
      <c r="E120">
        <v>6</v>
      </c>
      <c r="F120">
        <v>2018</v>
      </c>
      <c r="G120" s="12">
        <v>469.99</v>
      </c>
    </row>
    <row r="121" spans="1:7">
      <c r="A121">
        <v>120</v>
      </c>
      <c r="B121" t="s">
        <v>133</v>
      </c>
      <c r="C121">
        <v>9</v>
      </c>
      <c r="D121" s="1" t="str">
        <f>_xlfn.XLOOKUP(C121, Brands!A:A, Brands!B:B)</f>
        <v>Trek</v>
      </c>
      <c r="E121">
        <v>6</v>
      </c>
      <c r="F121">
        <v>2018</v>
      </c>
      <c r="G121" s="12">
        <v>2499.9899999999998</v>
      </c>
    </row>
    <row r="122" spans="1:7">
      <c r="A122">
        <v>121</v>
      </c>
      <c r="B122" t="s">
        <v>134</v>
      </c>
      <c r="C122">
        <v>8</v>
      </c>
      <c r="D122" s="1" t="str">
        <f>_xlfn.XLOOKUP(C122, Brands!A:A, Brands!B:B)</f>
        <v>Surly</v>
      </c>
      <c r="E122">
        <v>6</v>
      </c>
      <c r="F122">
        <v>2018</v>
      </c>
      <c r="G122" s="12">
        <v>2499.9899999999998</v>
      </c>
    </row>
    <row r="123" spans="1:7">
      <c r="A123">
        <v>122</v>
      </c>
      <c r="B123" t="s">
        <v>71</v>
      </c>
      <c r="C123">
        <v>8</v>
      </c>
      <c r="D123" s="1" t="str">
        <f>_xlfn.XLOOKUP(C123, Brands!A:A, Brands!B:B)</f>
        <v>Surly</v>
      </c>
      <c r="E123">
        <v>6</v>
      </c>
      <c r="F123">
        <v>2018</v>
      </c>
      <c r="G123" s="12">
        <v>2499.9899999999998</v>
      </c>
    </row>
    <row r="124" spans="1:7">
      <c r="A124">
        <v>123</v>
      </c>
      <c r="B124" t="s">
        <v>135</v>
      </c>
      <c r="C124">
        <v>9</v>
      </c>
      <c r="D124" s="1" t="str">
        <f>_xlfn.XLOOKUP(C124, Brands!A:A, Brands!B:B)</f>
        <v>Trek</v>
      </c>
      <c r="E124">
        <v>6</v>
      </c>
      <c r="F124">
        <v>2018</v>
      </c>
      <c r="G124" s="12">
        <v>999.99</v>
      </c>
    </row>
    <row r="125" spans="1:7">
      <c r="A125">
        <v>124</v>
      </c>
      <c r="B125" t="s">
        <v>136</v>
      </c>
      <c r="C125">
        <v>8</v>
      </c>
      <c r="D125" s="1" t="str">
        <f>_xlfn.XLOOKUP(C125, Brands!A:A, Brands!B:B)</f>
        <v>Surly</v>
      </c>
      <c r="E125">
        <v>6</v>
      </c>
      <c r="F125">
        <v>2018</v>
      </c>
      <c r="G125" s="12">
        <v>1499</v>
      </c>
    </row>
    <row r="126" spans="1:7">
      <c r="A126">
        <v>125</v>
      </c>
      <c r="B126" t="s">
        <v>137</v>
      </c>
      <c r="C126">
        <v>9</v>
      </c>
      <c r="D126" s="1" t="str">
        <f>_xlfn.XLOOKUP(C126, Brands!A:A, Brands!B:B)</f>
        <v>Trek</v>
      </c>
      <c r="E126">
        <v>6</v>
      </c>
      <c r="F126">
        <v>2018</v>
      </c>
      <c r="G126" s="12">
        <v>469.99</v>
      </c>
    </row>
    <row r="127" spans="1:7">
      <c r="A127">
        <v>126</v>
      </c>
      <c r="B127" t="s">
        <v>138</v>
      </c>
      <c r="C127">
        <v>8</v>
      </c>
      <c r="D127" s="1" t="str">
        <f>_xlfn.XLOOKUP(C127, Brands!A:A, Brands!B:B)</f>
        <v>Surly</v>
      </c>
      <c r="E127">
        <v>6</v>
      </c>
      <c r="F127">
        <v>2018</v>
      </c>
      <c r="G127" s="12">
        <v>469.99</v>
      </c>
    </row>
    <row r="128" spans="1:7">
      <c r="A128">
        <v>127</v>
      </c>
      <c r="B128" t="s">
        <v>139</v>
      </c>
      <c r="C128">
        <v>8</v>
      </c>
      <c r="D128" s="1" t="str">
        <f>_xlfn.XLOOKUP(C128, Brands!A:A, Brands!B:B)</f>
        <v>Surly</v>
      </c>
      <c r="E128">
        <v>6</v>
      </c>
      <c r="F128">
        <v>2018</v>
      </c>
      <c r="G128" s="12">
        <v>469.99</v>
      </c>
    </row>
    <row r="129" spans="1:7">
      <c r="A129">
        <v>128</v>
      </c>
      <c r="B129" t="s">
        <v>140</v>
      </c>
      <c r="C129">
        <v>8</v>
      </c>
      <c r="D129" s="1" t="str">
        <f>_xlfn.XLOOKUP(C129, Brands!A:A, Brands!B:B)</f>
        <v>Surly</v>
      </c>
      <c r="E129">
        <v>6</v>
      </c>
      <c r="F129">
        <v>2018</v>
      </c>
      <c r="G129" s="12">
        <v>1899</v>
      </c>
    </row>
    <row r="130" spans="1:7">
      <c r="A130">
        <v>129</v>
      </c>
      <c r="B130" t="s">
        <v>22</v>
      </c>
      <c r="C130">
        <v>9</v>
      </c>
      <c r="D130" s="1" t="str">
        <f>_xlfn.XLOOKUP(C130, Brands!A:A, Brands!B:B)</f>
        <v>Trek</v>
      </c>
      <c r="E130">
        <v>6</v>
      </c>
      <c r="F130">
        <v>2018</v>
      </c>
      <c r="G130" s="12">
        <v>919.99</v>
      </c>
    </row>
    <row r="131" spans="1:7">
      <c r="A131">
        <v>130</v>
      </c>
      <c r="B131" t="s">
        <v>141</v>
      </c>
      <c r="C131">
        <v>9</v>
      </c>
      <c r="D131" s="1" t="str">
        <f>_xlfn.XLOOKUP(C131, Brands!A:A, Brands!B:B)</f>
        <v>Trek</v>
      </c>
      <c r="E131">
        <v>6</v>
      </c>
      <c r="F131">
        <v>2018</v>
      </c>
      <c r="G131" s="12">
        <v>919.99</v>
      </c>
    </row>
    <row r="132" spans="1:7">
      <c r="A132">
        <v>131</v>
      </c>
      <c r="B132" t="s">
        <v>142</v>
      </c>
      <c r="C132">
        <v>3</v>
      </c>
      <c r="D132" s="1" t="str">
        <f>_xlfn.XLOOKUP(C132, Brands!A:A, Brands!B:B)</f>
        <v>Heller</v>
      </c>
      <c r="E132">
        <v>6</v>
      </c>
      <c r="F132">
        <v>2018</v>
      </c>
      <c r="G132" s="12">
        <v>2599</v>
      </c>
    </row>
    <row r="133" spans="1:7">
      <c r="A133">
        <v>132</v>
      </c>
      <c r="B133" t="s">
        <v>143</v>
      </c>
      <c r="C133">
        <v>9</v>
      </c>
      <c r="D133" s="1" t="str">
        <f>_xlfn.XLOOKUP(C133, Brands!A:A, Brands!B:B)</f>
        <v>Trek</v>
      </c>
      <c r="E133">
        <v>6</v>
      </c>
      <c r="F133">
        <v>2018</v>
      </c>
      <c r="G133" s="12">
        <v>1499.99</v>
      </c>
    </row>
    <row r="134" spans="1:7">
      <c r="A134">
        <v>133</v>
      </c>
      <c r="B134" t="s">
        <v>144</v>
      </c>
      <c r="C134">
        <v>9</v>
      </c>
      <c r="D134" s="1" t="str">
        <f>_xlfn.XLOOKUP(C134, Brands!A:A, Brands!B:B)</f>
        <v>Trek</v>
      </c>
      <c r="E134">
        <v>6</v>
      </c>
      <c r="F134">
        <v>2018</v>
      </c>
      <c r="G134" s="12">
        <v>1499.99</v>
      </c>
    </row>
    <row r="135" spans="1:7">
      <c r="A135">
        <v>134</v>
      </c>
      <c r="B135" t="s">
        <v>145</v>
      </c>
      <c r="C135">
        <v>9</v>
      </c>
      <c r="D135" s="1" t="str">
        <f>_xlfn.XLOOKUP(C135, Brands!A:A, Brands!B:B)</f>
        <v>Trek</v>
      </c>
      <c r="E135">
        <v>6</v>
      </c>
      <c r="F135">
        <v>2018</v>
      </c>
      <c r="G135" s="12">
        <v>1499.99</v>
      </c>
    </row>
    <row r="136" spans="1:7">
      <c r="A136">
        <v>135</v>
      </c>
      <c r="B136" t="s">
        <v>22</v>
      </c>
      <c r="C136">
        <v>9</v>
      </c>
      <c r="D136" s="1" t="str">
        <f>_xlfn.XLOOKUP(C136, Brands!A:A, Brands!B:B)</f>
        <v>Trek</v>
      </c>
      <c r="E136">
        <v>6</v>
      </c>
      <c r="F136">
        <v>2018</v>
      </c>
      <c r="G136" s="12">
        <v>1499.99</v>
      </c>
    </row>
    <row r="137" spans="1:7">
      <c r="A137">
        <v>136</v>
      </c>
      <c r="B137" t="s">
        <v>146</v>
      </c>
      <c r="C137">
        <v>9</v>
      </c>
      <c r="D137" s="1" t="str">
        <f>_xlfn.XLOOKUP(C137, Brands!A:A, Brands!B:B)</f>
        <v>Trek</v>
      </c>
      <c r="E137">
        <v>6</v>
      </c>
      <c r="F137">
        <v>2018</v>
      </c>
      <c r="G137" s="12">
        <v>1799.99</v>
      </c>
    </row>
    <row r="138" spans="1:7">
      <c r="A138">
        <v>137</v>
      </c>
      <c r="B138" t="s">
        <v>147</v>
      </c>
      <c r="C138">
        <v>3</v>
      </c>
      <c r="D138" s="1" t="str">
        <f>_xlfn.XLOOKUP(C138, Brands!A:A, Brands!B:B)</f>
        <v>Heller</v>
      </c>
      <c r="E138">
        <v>6</v>
      </c>
      <c r="F138">
        <v>2018</v>
      </c>
      <c r="G138" s="12">
        <v>2599</v>
      </c>
    </row>
    <row r="139" spans="1:7">
      <c r="A139">
        <v>138</v>
      </c>
      <c r="B139" t="s">
        <v>148</v>
      </c>
      <c r="C139">
        <v>9</v>
      </c>
      <c r="D139" s="1" t="str">
        <f>_xlfn.XLOOKUP(C139, Brands!A:A, Brands!B:B)</f>
        <v>Trek</v>
      </c>
      <c r="E139">
        <v>6</v>
      </c>
      <c r="F139">
        <v>2018</v>
      </c>
      <c r="G139" s="12">
        <v>2249.9899999999998</v>
      </c>
    </row>
    <row r="140" spans="1:7">
      <c r="A140">
        <v>139</v>
      </c>
      <c r="B140" t="s">
        <v>149</v>
      </c>
      <c r="C140">
        <v>9</v>
      </c>
      <c r="D140" s="1" t="str">
        <f>_xlfn.XLOOKUP(C140, Brands!A:A, Brands!B:B)</f>
        <v>Trek</v>
      </c>
      <c r="E140">
        <v>6</v>
      </c>
      <c r="F140">
        <v>2018</v>
      </c>
      <c r="G140" s="12">
        <v>2999.99</v>
      </c>
    </row>
    <row r="141" spans="1:7">
      <c r="A141">
        <v>140</v>
      </c>
      <c r="B141" t="s">
        <v>150</v>
      </c>
      <c r="C141">
        <v>9</v>
      </c>
      <c r="D141" s="1" t="str">
        <f>_xlfn.XLOOKUP(C141, Brands!A:A, Brands!B:B)</f>
        <v>Trek</v>
      </c>
      <c r="E141">
        <v>6</v>
      </c>
      <c r="F141">
        <v>2018</v>
      </c>
      <c r="G141" s="12">
        <v>4999.99</v>
      </c>
    </row>
    <row r="142" spans="1:7">
      <c r="A142">
        <v>141</v>
      </c>
      <c r="B142" t="s">
        <v>74</v>
      </c>
      <c r="C142">
        <v>9</v>
      </c>
      <c r="D142" s="1" t="str">
        <f>_xlfn.XLOOKUP(C142, Brands!A:A, Brands!B:B)</f>
        <v>Trek</v>
      </c>
      <c r="E142">
        <v>6</v>
      </c>
      <c r="F142">
        <v>2018</v>
      </c>
      <c r="G142" s="12">
        <v>1599.99</v>
      </c>
    </row>
    <row r="143" spans="1:7">
      <c r="A143">
        <v>142</v>
      </c>
      <c r="B143" t="s">
        <v>151</v>
      </c>
      <c r="C143">
        <v>9</v>
      </c>
      <c r="D143" s="1" t="str">
        <f>_xlfn.XLOOKUP(C143, Brands!A:A, Brands!B:B)</f>
        <v>Trek</v>
      </c>
      <c r="E143">
        <v>6</v>
      </c>
      <c r="F143">
        <v>2018</v>
      </c>
      <c r="G143" s="12">
        <v>3199.99</v>
      </c>
    </row>
    <row r="144" spans="1:7">
      <c r="A144">
        <v>143</v>
      </c>
      <c r="B144" t="s">
        <v>152</v>
      </c>
      <c r="C144">
        <v>9</v>
      </c>
      <c r="D144" s="1" t="str">
        <f>_xlfn.XLOOKUP(C144, Brands!A:A, Brands!B:B)</f>
        <v>Trek</v>
      </c>
      <c r="E144">
        <v>7</v>
      </c>
      <c r="F144">
        <v>2018</v>
      </c>
      <c r="G144" s="12">
        <v>1099.99</v>
      </c>
    </row>
    <row r="145" spans="1:7">
      <c r="A145">
        <v>144</v>
      </c>
      <c r="B145" t="s">
        <v>153</v>
      </c>
      <c r="C145">
        <v>9</v>
      </c>
      <c r="D145" s="1" t="str">
        <f>_xlfn.XLOOKUP(C145, Brands!A:A, Brands!B:B)</f>
        <v>Trek</v>
      </c>
      <c r="E145">
        <v>7</v>
      </c>
      <c r="F145">
        <v>2018</v>
      </c>
      <c r="G145" s="12">
        <v>1549.99</v>
      </c>
    </row>
    <row r="146" spans="1:7">
      <c r="A146">
        <v>145</v>
      </c>
      <c r="B146" t="s">
        <v>154</v>
      </c>
      <c r="C146">
        <v>9</v>
      </c>
      <c r="D146" s="1" t="str">
        <f>_xlfn.XLOOKUP(C146, Brands!A:A, Brands!B:B)</f>
        <v>Trek</v>
      </c>
      <c r="E146">
        <v>7</v>
      </c>
      <c r="F146">
        <v>2018</v>
      </c>
      <c r="G146" s="12">
        <v>1799.99</v>
      </c>
    </row>
    <row r="147" spans="1:7">
      <c r="A147">
        <v>146</v>
      </c>
      <c r="B147" t="s">
        <v>155</v>
      </c>
      <c r="C147">
        <v>9</v>
      </c>
      <c r="D147" s="1" t="str">
        <f>_xlfn.XLOOKUP(C147, Brands!A:A, Brands!B:B)</f>
        <v>Trek</v>
      </c>
      <c r="E147">
        <v>7</v>
      </c>
      <c r="F147">
        <v>2018</v>
      </c>
      <c r="G147" s="12">
        <v>4999.99</v>
      </c>
    </row>
    <row r="148" spans="1:7">
      <c r="A148">
        <v>147</v>
      </c>
      <c r="B148" t="s">
        <v>156</v>
      </c>
      <c r="C148">
        <v>9</v>
      </c>
      <c r="D148" s="1" t="str">
        <f>_xlfn.XLOOKUP(C148, Brands!A:A, Brands!B:B)</f>
        <v>Trek</v>
      </c>
      <c r="E148">
        <v>7</v>
      </c>
      <c r="F148">
        <v>2018</v>
      </c>
      <c r="G148" s="12">
        <v>1799.99</v>
      </c>
    </row>
    <row r="149" spans="1:7">
      <c r="A149">
        <v>148</v>
      </c>
      <c r="B149" t="s">
        <v>157</v>
      </c>
      <c r="C149">
        <v>9</v>
      </c>
      <c r="D149" s="1" t="str">
        <f>_xlfn.XLOOKUP(C149, Brands!A:A, Brands!B:B)</f>
        <v>Trek</v>
      </c>
      <c r="E149">
        <v>7</v>
      </c>
      <c r="F149">
        <v>2018</v>
      </c>
      <c r="G149" s="12">
        <v>5499.99</v>
      </c>
    </row>
    <row r="150" spans="1:7">
      <c r="A150">
        <v>149</v>
      </c>
      <c r="B150" t="s">
        <v>158</v>
      </c>
      <c r="C150">
        <v>9</v>
      </c>
      <c r="D150" s="1" t="str">
        <f>_xlfn.XLOOKUP(C150, Brands!A:A, Brands!B:B)</f>
        <v>Trek</v>
      </c>
      <c r="E150">
        <v>7</v>
      </c>
      <c r="F150">
        <v>2018</v>
      </c>
      <c r="G150" s="12">
        <v>7499.99</v>
      </c>
    </row>
    <row r="151" spans="1:7">
      <c r="A151">
        <v>150</v>
      </c>
      <c r="B151" t="s">
        <v>159</v>
      </c>
      <c r="C151">
        <v>9</v>
      </c>
      <c r="D151" s="1" t="str">
        <f>_xlfn.XLOOKUP(C151, Brands!A:A, Brands!B:B)</f>
        <v>Trek</v>
      </c>
      <c r="E151">
        <v>7</v>
      </c>
      <c r="F151">
        <v>2018</v>
      </c>
      <c r="G151" s="12">
        <v>4499.99</v>
      </c>
    </row>
    <row r="152" spans="1:7">
      <c r="A152">
        <v>151</v>
      </c>
      <c r="B152" t="s">
        <v>160</v>
      </c>
      <c r="C152">
        <v>9</v>
      </c>
      <c r="D152" s="1" t="str">
        <f>_xlfn.XLOOKUP(C152, Brands!A:A, Brands!B:B)</f>
        <v>Trek</v>
      </c>
      <c r="E152">
        <v>7</v>
      </c>
      <c r="F152">
        <v>2018</v>
      </c>
      <c r="G152" s="12">
        <v>1549.99</v>
      </c>
    </row>
    <row r="153" spans="1:7">
      <c r="A153">
        <v>152</v>
      </c>
      <c r="B153" t="s">
        <v>161</v>
      </c>
      <c r="C153">
        <v>9</v>
      </c>
      <c r="D153" s="1" t="str">
        <f>_xlfn.XLOOKUP(C153, Brands!A:A, Brands!B:B)</f>
        <v>Trek</v>
      </c>
      <c r="E153">
        <v>7</v>
      </c>
      <c r="F153">
        <v>2018</v>
      </c>
      <c r="G153" s="12">
        <v>2499.9899999999998</v>
      </c>
    </row>
    <row r="154" spans="1:7">
      <c r="A154">
        <v>153</v>
      </c>
      <c r="B154" t="s">
        <v>162</v>
      </c>
      <c r="C154">
        <v>9</v>
      </c>
      <c r="D154" s="1" t="str">
        <f>_xlfn.XLOOKUP(C154, Brands!A:A, Brands!B:B)</f>
        <v>Trek</v>
      </c>
      <c r="E154">
        <v>7</v>
      </c>
      <c r="F154">
        <v>2018</v>
      </c>
      <c r="G154" s="12">
        <v>4999.99</v>
      </c>
    </row>
    <row r="155" spans="1:7">
      <c r="A155">
        <v>154</v>
      </c>
      <c r="B155" t="s">
        <v>163</v>
      </c>
      <c r="C155">
        <v>9</v>
      </c>
      <c r="D155" s="1" t="str">
        <f>_xlfn.XLOOKUP(C155, Brands!A:A, Brands!B:B)</f>
        <v>Trek</v>
      </c>
      <c r="E155">
        <v>7</v>
      </c>
      <c r="F155">
        <v>2018</v>
      </c>
      <c r="G155" s="12">
        <v>5499.99</v>
      </c>
    </row>
    <row r="156" spans="1:7">
      <c r="A156">
        <v>155</v>
      </c>
      <c r="B156" t="s">
        <v>164</v>
      </c>
      <c r="C156">
        <v>9</v>
      </c>
      <c r="D156" s="1" t="str">
        <f>_xlfn.XLOOKUP(C156, Brands!A:A, Brands!B:B)</f>
        <v>Trek</v>
      </c>
      <c r="E156">
        <v>7</v>
      </c>
      <c r="F156">
        <v>2018</v>
      </c>
      <c r="G156" s="12">
        <v>11999.99</v>
      </c>
    </row>
    <row r="157" spans="1:7">
      <c r="A157">
        <v>156</v>
      </c>
      <c r="B157" t="s">
        <v>165</v>
      </c>
      <c r="C157">
        <v>9</v>
      </c>
      <c r="D157" s="1" t="str">
        <f>_xlfn.XLOOKUP(C157, Brands!A:A, Brands!B:B)</f>
        <v>Trek</v>
      </c>
      <c r="E157">
        <v>7</v>
      </c>
      <c r="F157">
        <v>2018</v>
      </c>
      <c r="G157" s="12">
        <v>6499.99</v>
      </c>
    </row>
    <row r="158" spans="1:7">
      <c r="A158">
        <v>157</v>
      </c>
      <c r="B158" t="s">
        <v>166</v>
      </c>
      <c r="C158">
        <v>9</v>
      </c>
      <c r="D158" s="1" t="str">
        <f>_xlfn.XLOOKUP(C158, Brands!A:A, Brands!B:B)</f>
        <v>Trek</v>
      </c>
      <c r="E158">
        <v>7</v>
      </c>
      <c r="F158">
        <v>2018</v>
      </c>
      <c r="G158" s="12">
        <v>6499.99</v>
      </c>
    </row>
    <row r="159" spans="1:7">
      <c r="A159">
        <v>158</v>
      </c>
      <c r="B159" t="s">
        <v>167</v>
      </c>
      <c r="C159">
        <v>9</v>
      </c>
      <c r="D159" s="1" t="str">
        <f>_xlfn.XLOOKUP(C159, Brands!A:A, Brands!B:B)</f>
        <v>Trek</v>
      </c>
      <c r="E159">
        <v>7</v>
      </c>
      <c r="F159">
        <v>2018</v>
      </c>
      <c r="G159" s="12">
        <v>959.99</v>
      </c>
    </row>
    <row r="160" spans="1:7">
      <c r="A160">
        <v>159</v>
      </c>
      <c r="B160" t="s">
        <v>168</v>
      </c>
      <c r="C160">
        <v>9</v>
      </c>
      <c r="D160" s="1" t="str">
        <f>_xlfn.XLOOKUP(C160, Brands!A:A, Brands!B:B)</f>
        <v>Trek</v>
      </c>
      <c r="E160">
        <v>7</v>
      </c>
      <c r="F160">
        <v>2018</v>
      </c>
      <c r="G160" s="12">
        <v>2299.9899999999998</v>
      </c>
    </row>
    <row r="161" spans="1:7">
      <c r="A161">
        <v>160</v>
      </c>
      <c r="B161" t="s">
        <v>169</v>
      </c>
      <c r="C161">
        <v>9</v>
      </c>
      <c r="D161" s="1" t="str">
        <f>_xlfn.XLOOKUP(C161, Brands!A:A, Brands!B:B)</f>
        <v>Trek</v>
      </c>
      <c r="E161">
        <v>7</v>
      </c>
      <c r="F161">
        <v>2018</v>
      </c>
      <c r="G161" s="12">
        <v>4499.99</v>
      </c>
    </row>
    <row r="162" spans="1:7">
      <c r="A162">
        <v>161</v>
      </c>
      <c r="B162" t="s">
        <v>170</v>
      </c>
      <c r="C162">
        <v>8</v>
      </c>
      <c r="D162" s="1" t="str">
        <f>_xlfn.XLOOKUP(C162, Brands!A:A, Brands!B:B)</f>
        <v>Surly</v>
      </c>
      <c r="E162">
        <v>7</v>
      </c>
      <c r="F162">
        <v>2018</v>
      </c>
      <c r="G162" s="12">
        <v>1899</v>
      </c>
    </row>
    <row r="163" spans="1:7">
      <c r="A163">
        <v>162</v>
      </c>
      <c r="B163" t="s">
        <v>171</v>
      </c>
      <c r="C163">
        <v>9</v>
      </c>
      <c r="D163" s="1" t="str">
        <f>_xlfn.XLOOKUP(C163, Brands!A:A, Brands!B:B)</f>
        <v>Trek</v>
      </c>
      <c r="E163">
        <v>7</v>
      </c>
      <c r="F163">
        <v>2018</v>
      </c>
      <c r="G163" s="12">
        <v>2999.99</v>
      </c>
    </row>
    <row r="164" spans="1:7">
      <c r="A164">
        <v>163</v>
      </c>
      <c r="B164" t="s">
        <v>172</v>
      </c>
      <c r="C164">
        <v>8</v>
      </c>
      <c r="D164" s="1" t="str">
        <f>_xlfn.XLOOKUP(C164, Brands!A:A, Brands!B:B)</f>
        <v>Surly</v>
      </c>
      <c r="E164">
        <v>7</v>
      </c>
      <c r="F164">
        <v>2018</v>
      </c>
      <c r="G164" s="12">
        <v>1349</v>
      </c>
    </row>
    <row r="165" spans="1:7">
      <c r="A165">
        <v>164</v>
      </c>
      <c r="B165" t="s">
        <v>60</v>
      </c>
      <c r="C165">
        <v>8</v>
      </c>
      <c r="D165" s="1" t="str">
        <f>_xlfn.XLOOKUP(C165, Brands!A:A, Brands!B:B)</f>
        <v>Surly</v>
      </c>
      <c r="E165">
        <v>7</v>
      </c>
      <c r="F165">
        <v>2018</v>
      </c>
      <c r="G165" s="12">
        <v>1549</v>
      </c>
    </row>
    <row r="166" spans="1:7">
      <c r="A166">
        <v>165</v>
      </c>
      <c r="B166" t="s">
        <v>173</v>
      </c>
      <c r="C166">
        <v>9</v>
      </c>
      <c r="D166" s="1" t="str">
        <f>_xlfn.XLOOKUP(C166, Brands!A:A, Brands!B:B)</f>
        <v>Trek</v>
      </c>
      <c r="E166">
        <v>7</v>
      </c>
      <c r="F166">
        <v>2018</v>
      </c>
      <c r="G166" s="12">
        <v>2499.9899999999998</v>
      </c>
    </row>
    <row r="167" spans="1:7">
      <c r="A167">
        <v>166</v>
      </c>
      <c r="B167" t="s">
        <v>174</v>
      </c>
      <c r="C167">
        <v>9</v>
      </c>
      <c r="D167" s="1" t="str">
        <f>_xlfn.XLOOKUP(C167, Brands!A:A, Brands!B:B)</f>
        <v>Trek</v>
      </c>
      <c r="E167">
        <v>7</v>
      </c>
      <c r="F167">
        <v>2018</v>
      </c>
      <c r="G167" s="12">
        <v>749.99</v>
      </c>
    </row>
    <row r="168" spans="1:7">
      <c r="A168">
        <v>167</v>
      </c>
      <c r="B168" t="s">
        <v>175</v>
      </c>
      <c r="C168">
        <v>8</v>
      </c>
      <c r="D168" s="1" t="str">
        <f>_xlfn.XLOOKUP(C168, Brands!A:A, Brands!B:B)</f>
        <v>Surly</v>
      </c>
      <c r="E168">
        <v>7</v>
      </c>
      <c r="F168">
        <v>2018</v>
      </c>
      <c r="G168" s="12">
        <v>749.99</v>
      </c>
    </row>
    <row r="169" spans="1:7">
      <c r="A169">
        <v>168</v>
      </c>
      <c r="B169" t="s">
        <v>59</v>
      </c>
      <c r="C169">
        <v>8</v>
      </c>
      <c r="D169" s="1" t="str">
        <f>_xlfn.XLOOKUP(C169, Brands!A:A, Brands!B:B)</f>
        <v>Surly</v>
      </c>
      <c r="E169">
        <v>7</v>
      </c>
      <c r="F169">
        <v>2018</v>
      </c>
      <c r="G169" s="12">
        <v>1549</v>
      </c>
    </row>
    <row r="170" spans="1:7">
      <c r="A170">
        <v>169</v>
      </c>
      <c r="B170" t="s">
        <v>176</v>
      </c>
      <c r="C170">
        <v>9</v>
      </c>
      <c r="D170" s="1" t="str">
        <f>_xlfn.XLOOKUP(C170, Brands!A:A, Brands!B:B)</f>
        <v>Trek</v>
      </c>
      <c r="E170">
        <v>7</v>
      </c>
      <c r="F170">
        <v>2018</v>
      </c>
      <c r="G170" s="12">
        <v>6499.99</v>
      </c>
    </row>
    <row r="171" spans="1:7">
      <c r="A171">
        <v>170</v>
      </c>
      <c r="B171" t="s">
        <v>177</v>
      </c>
      <c r="C171">
        <v>9</v>
      </c>
      <c r="D171" s="1" t="str">
        <f>_xlfn.XLOOKUP(C171, Brands!A:A, Brands!B:B)</f>
        <v>Trek</v>
      </c>
      <c r="E171">
        <v>7</v>
      </c>
      <c r="F171">
        <v>2018</v>
      </c>
      <c r="G171" s="12">
        <v>1299.99</v>
      </c>
    </row>
    <row r="172" spans="1:7">
      <c r="A172">
        <v>171</v>
      </c>
      <c r="B172" t="s">
        <v>84</v>
      </c>
      <c r="C172">
        <v>9</v>
      </c>
      <c r="D172" s="1" t="str">
        <f>_xlfn.XLOOKUP(C172, Brands!A:A, Brands!B:B)</f>
        <v>Trek</v>
      </c>
      <c r="E172">
        <v>7</v>
      </c>
      <c r="F172">
        <v>2018</v>
      </c>
      <c r="G172" s="12">
        <v>3199.99</v>
      </c>
    </row>
    <row r="173" spans="1:7">
      <c r="A173">
        <v>172</v>
      </c>
      <c r="B173" t="s">
        <v>178</v>
      </c>
      <c r="C173">
        <v>9</v>
      </c>
      <c r="D173" s="1" t="str">
        <f>_xlfn.XLOOKUP(C173, Brands!A:A, Brands!B:B)</f>
        <v>Trek</v>
      </c>
      <c r="E173">
        <v>7</v>
      </c>
      <c r="F173">
        <v>2018</v>
      </c>
      <c r="G173" s="12">
        <v>3199.99</v>
      </c>
    </row>
    <row r="174" spans="1:7">
      <c r="A174">
        <v>173</v>
      </c>
      <c r="B174" t="s">
        <v>179</v>
      </c>
      <c r="C174">
        <v>9</v>
      </c>
      <c r="D174" s="1" t="str">
        <f>_xlfn.XLOOKUP(C174, Brands!A:A, Brands!B:B)</f>
        <v>Trek</v>
      </c>
      <c r="E174">
        <v>7</v>
      </c>
      <c r="F174">
        <v>2018</v>
      </c>
      <c r="G174" s="12">
        <v>3199.99</v>
      </c>
    </row>
    <row r="175" spans="1:7">
      <c r="A175">
        <v>174</v>
      </c>
      <c r="B175" t="s">
        <v>180</v>
      </c>
      <c r="C175">
        <v>9</v>
      </c>
      <c r="D175" s="1" t="str">
        <f>_xlfn.XLOOKUP(C175, Brands!A:A, Brands!B:B)</f>
        <v>Trek</v>
      </c>
      <c r="E175">
        <v>7</v>
      </c>
      <c r="F175">
        <v>2018</v>
      </c>
      <c r="G175" s="12">
        <v>3199.99</v>
      </c>
    </row>
    <row r="176" spans="1:7">
      <c r="A176">
        <v>175</v>
      </c>
      <c r="B176" t="s">
        <v>181</v>
      </c>
      <c r="C176">
        <v>9</v>
      </c>
      <c r="D176" s="1" t="str">
        <f>_xlfn.XLOOKUP(C176, Brands!A:A, Brands!B:B)</f>
        <v>Trek</v>
      </c>
      <c r="E176">
        <v>7</v>
      </c>
      <c r="F176">
        <v>2018</v>
      </c>
      <c r="G176" s="12">
        <v>3199.99</v>
      </c>
    </row>
    <row r="177" spans="1:7">
      <c r="A177">
        <v>176</v>
      </c>
      <c r="B177" t="s">
        <v>182</v>
      </c>
      <c r="C177">
        <v>9</v>
      </c>
      <c r="D177" s="1" t="str">
        <f>_xlfn.XLOOKUP(C177, Brands!A:A, Brands!B:B)</f>
        <v>Trek</v>
      </c>
      <c r="E177">
        <v>7</v>
      </c>
      <c r="F177">
        <v>2018</v>
      </c>
      <c r="G177" s="12">
        <v>3199.99</v>
      </c>
    </row>
    <row r="178" spans="1:7">
      <c r="A178">
        <v>177</v>
      </c>
      <c r="B178" t="s">
        <v>91</v>
      </c>
      <c r="C178">
        <v>9</v>
      </c>
      <c r="D178" s="1" t="str">
        <f>_xlfn.XLOOKUP(C178, Brands!A:A, Brands!B:B)</f>
        <v>Trek</v>
      </c>
      <c r="E178">
        <v>7</v>
      </c>
      <c r="F178">
        <v>2018</v>
      </c>
      <c r="G178" s="12">
        <v>5499.99</v>
      </c>
    </row>
    <row r="179" spans="1:7">
      <c r="A179">
        <v>178</v>
      </c>
      <c r="B179" t="s">
        <v>183</v>
      </c>
      <c r="C179">
        <v>9</v>
      </c>
      <c r="D179" s="1" t="str">
        <f>_xlfn.XLOOKUP(C179, Brands!A:A, Brands!B:B)</f>
        <v>Trek</v>
      </c>
      <c r="E179">
        <v>7</v>
      </c>
      <c r="F179">
        <v>2018</v>
      </c>
      <c r="G179" s="12">
        <v>749.99</v>
      </c>
    </row>
    <row r="180" spans="1:7">
      <c r="A180">
        <v>179</v>
      </c>
      <c r="B180" t="s">
        <v>184</v>
      </c>
      <c r="C180">
        <v>9</v>
      </c>
      <c r="D180" s="1" t="str">
        <f>_xlfn.XLOOKUP(C180, Brands!A:A, Brands!B:B)</f>
        <v>Trek</v>
      </c>
      <c r="E180">
        <v>7</v>
      </c>
      <c r="F180">
        <v>2018</v>
      </c>
      <c r="G180" s="12">
        <v>919.99</v>
      </c>
    </row>
    <row r="181" spans="1:7">
      <c r="A181">
        <v>180</v>
      </c>
      <c r="B181" t="s">
        <v>185</v>
      </c>
      <c r="C181">
        <v>9</v>
      </c>
      <c r="D181" s="1" t="str">
        <f>_xlfn.XLOOKUP(C181, Brands!A:A, Brands!B:B)</f>
        <v>Trek</v>
      </c>
      <c r="E181">
        <v>7</v>
      </c>
      <c r="F181">
        <v>2018</v>
      </c>
      <c r="G181" s="12">
        <v>919.99</v>
      </c>
    </row>
    <row r="182" spans="1:7">
      <c r="A182">
        <v>181</v>
      </c>
      <c r="B182" t="s">
        <v>186</v>
      </c>
      <c r="C182">
        <v>9</v>
      </c>
      <c r="D182" s="1" t="str">
        <f>_xlfn.XLOOKUP(C182, Brands!A:A, Brands!B:B)</f>
        <v>Trek</v>
      </c>
      <c r="E182">
        <v>7</v>
      </c>
      <c r="F182">
        <v>2018</v>
      </c>
      <c r="G182" s="12">
        <v>2199.9899999999998</v>
      </c>
    </row>
    <row r="183" spans="1:7">
      <c r="A183">
        <v>182</v>
      </c>
      <c r="B183" t="s">
        <v>187</v>
      </c>
      <c r="C183">
        <v>9</v>
      </c>
      <c r="D183" s="1" t="str">
        <f>_xlfn.XLOOKUP(C183, Brands!A:A, Brands!B:B)</f>
        <v>Trek</v>
      </c>
      <c r="E183">
        <v>7</v>
      </c>
      <c r="F183">
        <v>2018</v>
      </c>
      <c r="G183" s="12">
        <v>2499.9899999999998</v>
      </c>
    </row>
    <row r="184" spans="1:7">
      <c r="A184">
        <v>183</v>
      </c>
      <c r="B184" t="s">
        <v>188</v>
      </c>
      <c r="C184">
        <v>9</v>
      </c>
      <c r="D184" s="1" t="str">
        <f>_xlfn.XLOOKUP(C184, Brands!A:A, Brands!B:B)</f>
        <v>Trek</v>
      </c>
      <c r="E184">
        <v>7</v>
      </c>
      <c r="F184">
        <v>2018</v>
      </c>
      <c r="G184" s="12">
        <v>2199.9899999999998</v>
      </c>
    </row>
    <row r="185" spans="1:7">
      <c r="A185">
        <v>184</v>
      </c>
      <c r="B185" t="s">
        <v>189</v>
      </c>
      <c r="C185">
        <v>9</v>
      </c>
      <c r="D185" s="1" t="str">
        <f>_xlfn.XLOOKUP(C185, Brands!A:A, Brands!B:B)</f>
        <v>Trek</v>
      </c>
      <c r="E185">
        <v>7</v>
      </c>
      <c r="F185">
        <v>2018</v>
      </c>
      <c r="G185" s="12">
        <v>3499.99</v>
      </c>
    </row>
    <row r="186" spans="1:7">
      <c r="A186">
        <v>185</v>
      </c>
      <c r="B186" t="s">
        <v>58</v>
      </c>
      <c r="C186">
        <v>9</v>
      </c>
      <c r="D186" s="1" t="str">
        <f>_xlfn.XLOOKUP(C186, Brands!A:A, Brands!B:B)</f>
        <v>Trek</v>
      </c>
      <c r="E186">
        <v>5</v>
      </c>
      <c r="F186">
        <v>2018</v>
      </c>
      <c r="G186" s="12">
        <v>2799.99</v>
      </c>
    </row>
    <row r="187" spans="1:7">
      <c r="A187">
        <v>186</v>
      </c>
      <c r="B187" t="s">
        <v>190</v>
      </c>
      <c r="C187">
        <v>9</v>
      </c>
      <c r="D187" s="1" t="str">
        <f>_xlfn.XLOOKUP(C187, Brands!A:A, Brands!B:B)</f>
        <v>Trek</v>
      </c>
      <c r="E187">
        <v>5</v>
      </c>
      <c r="F187">
        <v>2018</v>
      </c>
      <c r="G187" s="12">
        <v>4499.99</v>
      </c>
    </row>
    <row r="188" spans="1:7">
      <c r="A188">
        <v>187</v>
      </c>
      <c r="B188" t="s">
        <v>191</v>
      </c>
      <c r="C188">
        <v>9</v>
      </c>
      <c r="D188" s="1" t="str">
        <f>_xlfn.XLOOKUP(C188, Brands!A:A, Brands!B:B)</f>
        <v>Trek</v>
      </c>
      <c r="E188">
        <v>5</v>
      </c>
      <c r="F188">
        <v>2018</v>
      </c>
      <c r="G188" s="12">
        <v>2799.99</v>
      </c>
    </row>
    <row r="189" spans="1:7">
      <c r="A189">
        <v>188</v>
      </c>
      <c r="B189" t="s">
        <v>192</v>
      </c>
      <c r="C189">
        <v>9</v>
      </c>
      <c r="D189" s="1" t="str">
        <f>_xlfn.XLOOKUP(C189, Brands!A:A, Brands!B:B)</f>
        <v>Trek</v>
      </c>
      <c r="E189">
        <v>5</v>
      </c>
      <c r="F189">
        <v>2018</v>
      </c>
      <c r="G189" s="12">
        <v>3499.99</v>
      </c>
    </row>
    <row r="190" spans="1:7">
      <c r="A190">
        <v>189</v>
      </c>
      <c r="B190" t="s">
        <v>193</v>
      </c>
      <c r="C190">
        <v>9</v>
      </c>
      <c r="D190" s="1" t="str">
        <f>_xlfn.XLOOKUP(C190, Brands!A:A, Brands!B:B)</f>
        <v>Trek</v>
      </c>
      <c r="E190">
        <v>5</v>
      </c>
      <c r="F190">
        <v>2018</v>
      </c>
      <c r="G190" s="12">
        <v>2799.99</v>
      </c>
    </row>
    <row r="191" spans="1:7">
      <c r="A191">
        <v>190</v>
      </c>
      <c r="B191" t="s">
        <v>194</v>
      </c>
      <c r="C191">
        <v>9</v>
      </c>
      <c r="D191" s="1" t="str">
        <f>_xlfn.XLOOKUP(C191, Brands!A:A, Brands!B:B)</f>
        <v>Trek</v>
      </c>
      <c r="E191">
        <v>5</v>
      </c>
      <c r="F191">
        <v>2018</v>
      </c>
      <c r="G191" s="12">
        <v>2799.99</v>
      </c>
    </row>
    <row r="192" spans="1:7">
      <c r="A192">
        <v>191</v>
      </c>
      <c r="B192" t="s">
        <v>195</v>
      </c>
      <c r="C192">
        <v>1</v>
      </c>
      <c r="D192" s="1" t="str">
        <f>_xlfn.XLOOKUP(C192, Brands!A:A, Brands!B:B)</f>
        <v>Electra</v>
      </c>
      <c r="E192">
        <v>5</v>
      </c>
      <c r="F192">
        <v>2018</v>
      </c>
      <c r="G192" s="12">
        <v>2799.99</v>
      </c>
    </row>
    <row r="193" spans="1:7">
      <c r="A193">
        <v>192</v>
      </c>
      <c r="B193" t="s">
        <v>196</v>
      </c>
      <c r="C193">
        <v>1</v>
      </c>
      <c r="D193" s="1" t="str">
        <f>_xlfn.XLOOKUP(C193, Brands!A:A, Brands!B:B)</f>
        <v>Electra</v>
      </c>
      <c r="E193">
        <v>5</v>
      </c>
      <c r="F193">
        <v>2018</v>
      </c>
      <c r="G193" s="12">
        <v>2599.9899999999998</v>
      </c>
    </row>
    <row r="194" spans="1:7">
      <c r="A194">
        <v>193</v>
      </c>
      <c r="B194" t="s">
        <v>197</v>
      </c>
      <c r="C194">
        <v>9</v>
      </c>
      <c r="D194" s="1" t="str">
        <f>_xlfn.XLOOKUP(C194, Brands!A:A, Brands!B:B)</f>
        <v>Trek</v>
      </c>
      <c r="E194">
        <v>5</v>
      </c>
      <c r="F194">
        <v>2018</v>
      </c>
      <c r="G194" s="12">
        <v>2799.99</v>
      </c>
    </row>
    <row r="195" spans="1:7">
      <c r="A195">
        <v>194</v>
      </c>
      <c r="B195" t="s">
        <v>198</v>
      </c>
      <c r="C195">
        <v>9</v>
      </c>
      <c r="D195" s="1" t="str">
        <f>_xlfn.XLOOKUP(C195, Brands!A:A, Brands!B:B)</f>
        <v>Trek</v>
      </c>
      <c r="E195">
        <v>5</v>
      </c>
      <c r="F195">
        <v>2018</v>
      </c>
      <c r="G195" s="12">
        <v>3499.99</v>
      </c>
    </row>
    <row r="196" spans="1:7">
      <c r="A196">
        <v>195</v>
      </c>
      <c r="B196" t="s">
        <v>199</v>
      </c>
      <c r="C196">
        <v>1</v>
      </c>
      <c r="D196" s="1" t="str">
        <f>_xlfn.XLOOKUP(C196, Brands!A:A, Brands!B:B)</f>
        <v>Electra</v>
      </c>
      <c r="E196">
        <v>5</v>
      </c>
      <c r="F196">
        <v>2018</v>
      </c>
      <c r="G196" s="12">
        <v>2599.9899999999998</v>
      </c>
    </row>
    <row r="197" spans="1:7">
      <c r="A197">
        <v>196</v>
      </c>
      <c r="B197" t="s">
        <v>200</v>
      </c>
      <c r="C197">
        <v>9</v>
      </c>
      <c r="D197" s="1" t="str">
        <f>_xlfn.XLOOKUP(C197, Brands!A:A, Brands!B:B)</f>
        <v>Trek</v>
      </c>
      <c r="E197">
        <v>5</v>
      </c>
      <c r="F197">
        <v>2018</v>
      </c>
      <c r="G197" s="12">
        <v>2299.9899999999998</v>
      </c>
    </row>
    <row r="198" spans="1:7">
      <c r="A198">
        <v>197</v>
      </c>
      <c r="B198" t="s">
        <v>201</v>
      </c>
      <c r="C198">
        <v>9</v>
      </c>
      <c r="D198" s="1" t="str">
        <f>_xlfn.XLOOKUP(C198, Brands!A:A, Brands!B:B)</f>
        <v>Trek</v>
      </c>
      <c r="E198">
        <v>5</v>
      </c>
      <c r="F198">
        <v>2018</v>
      </c>
      <c r="G198" s="12">
        <v>2299.9899999999998</v>
      </c>
    </row>
    <row r="199" spans="1:7">
      <c r="A199">
        <v>198</v>
      </c>
      <c r="B199" t="s">
        <v>202</v>
      </c>
      <c r="C199">
        <v>1</v>
      </c>
      <c r="D199" s="1" t="str">
        <f>_xlfn.XLOOKUP(C199, Brands!A:A, Brands!B:B)</f>
        <v>Electra</v>
      </c>
      <c r="E199">
        <v>5</v>
      </c>
      <c r="F199">
        <v>2018</v>
      </c>
      <c r="G199" s="12">
        <v>2999.99</v>
      </c>
    </row>
    <row r="200" spans="1:7">
      <c r="A200">
        <v>199</v>
      </c>
      <c r="B200" t="s">
        <v>203</v>
      </c>
      <c r="C200">
        <v>1</v>
      </c>
      <c r="D200" s="1" t="str">
        <f>_xlfn.XLOOKUP(C200, Brands!A:A, Brands!B:B)</f>
        <v>Electra</v>
      </c>
      <c r="E200">
        <v>5</v>
      </c>
      <c r="F200">
        <v>2018</v>
      </c>
      <c r="G200" s="12">
        <v>2999.99</v>
      </c>
    </row>
    <row r="201" spans="1:7">
      <c r="A201">
        <v>200</v>
      </c>
      <c r="B201" t="s">
        <v>204</v>
      </c>
      <c r="C201">
        <v>9</v>
      </c>
      <c r="D201" s="1" t="str">
        <f>_xlfn.XLOOKUP(C201, Brands!A:A, Brands!B:B)</f>
        <v>Trek</v>
      </c>
      <c r="E201">
        <v>5</v>
      </c>
      <c r="F201">
        <v>2018</v>
      </c>
      <c r="G201" s="12">
        <v>3499.99</v>
      </c>
    </row>
    <row r="202" spans="1:7">
      <c r="A202">
        <v>201</v>
      </c>
      <c r="B202" t="s">
        <v>205</v>
      </c>
      <c r="C202">
        <v>9</v>
      </c>
      <c r="D202" s="1" t="str">
        <f>_xlfn.XLOOKUP(C202, Brands!A:A, Brands!B:B)</f>
        <v>Trek</v>
      </c>
      <c r="E202">
        <v>5</v>
      </c>
      <c r="F202">
        <v>2018</v>
      </c>
      <c r="G202" s="12">
        <v>4499.99</v>
      </c>
    </row>
    <row r="203" spans="1:7">
      <c r="A203">
        <v>202</v>
      </c>
      <c r="B203" t="s">
        <v>206</v>
      </c>
      <c r="C203">
        <v>9</v>
      </c>
      <c r="D203" s="1" t="str">
        <f>_xlfn.XLOOKUP(C203, Brands!A:A, Brands!B:B)</f>
        <v>Trek</v>
      </c>
      <c r="E203">
        <v>5</v>
      </c>
      <c r="F203">
        <v>2018</v>
      </c>
      <c r="G203" s="12">
        <v>3499.99</v>
      </c>
    </row>
    <row r="204" spans="1:7">
      <c r="A204">
        <v>203</v>
      </c>
      <c r="B204" t="s">
        <v>207</v>
      </c>
      <c r="C204">
        <v>9</v>
      </c>
      <c r="D204" s="1" t="str">
        <f>_xlfn.XLOOKUP(C204, Brands!A:A, Brands!B:B)</f>
        <v>Trek</v>
      </c>
      <c r="E204">
        <v>5</v>
      </c>
      <c r="F204">
        <v>2018</v>
      </c>
      <c r="G204" s="12">
        <v>4999.99</v>
      </c>
    </row>
    <row r="205" spans="1:7">
      <c r="A205">
        <v>204</v>
      </c>
      <c r="B205" t="s">
        <v>208</v>
      </c>
      <c r="C205">
        <v>9</v>
      </c>
      <c r="D205" s="1" t="str">
        <f>_xlfn.XLOOKUP(C205, Brands!A:A, Brands!B:B)</f>
        <v>Trek</v>
      </c>
      <c r="E205">
        <v>5</v>
      </c>
      <c r="F205">
        <v>2018</v>
      </c>
      <c r="G205" s="12">
        <v>3599.99</v>
      </c>
    </row>
    <row r="206" spans="1:7">
      <c r="A206">
        <v>205</v>
      </c>
      <c r="B206" t="s">
        <v>209</v>
      </c>
      <c r="C206">
        <v>9</v>
      </c>
      <c r="D206" s="1" t="str">
        <f>_xlfn.XLOOKUP(C206, Brands!A:A, Brands!B:B)</f>
        <v>Trek</v>
      </c>
      <c r="E206">
        <v>5</v>
      </c>
      <c r="F206">
        <v>2018</v>
      </c>
      <c r="G206" s="12">
        <v>4999.99</v>
      </c>
    </row>
    <row r="207" spans="1:7">
      <c r="A207">
        <v>206</v>
      </c>
      <c r="B207" t="s">
        <v>210</v>
      </c>
      <c r="C207">
        <v>9</v>
      </c>
      <c r="D207" s="1" t="str">
        <f>_xlfn.XLOOKUP(C207, Brands!A:A, Brands!B:B)</f>
        <v>Trek</v>
      </c>
      <c r="E207">
        <v>4</v>
      </c>
      <c r="F207">
        <v>2018</v>
      </c>
      <c r="G207" s="12">
        <v>3299.99</v>
      </c>
    </row>
    <row r="208" spans="1:7">
      <c r="A208">
        <v>207</v>
      </c>
      <c r="B208" t="s">
        <v>211</v>
      </c>
      <c r="C208">
        <v>9</v>
      </c>
      <c r="D208" s="1" t="str">
        <f>_xlfn.XLOOKUP(C208, Brands!A:A, Brands!B:B)</f>
        <v>Trek</v>
      </c>
      <c r="E208">
        <v>4</v>
      </c>
      <c r="F208">
        <v>2018</v>
      </c>
      <c r="G208" s="12">
        <v>3999.99</v>
      </c>
    </row>
    <row r="209" spans="1:7">
      <c r="A209">
        <v>208</v>
      </c>
      <c r="B209" t="s">
        <v>212</v>
      </c>
      <c r="C209">
        <v>9</v>
      </c>
      <c r="D209" s="1" t="str">
        <f>_xlfn.XLOOKUP(C209, Brands!A:A, Brands!B:B)</f>
        <v>Trek</v>
      </c>
      <c r="E209">
        <v>4</v>
      </c>
      <c r="F209">
        <v>2018</v>
      </c>
      <c r="G209" s="12">
        <v>1799.99</v>
      </c>
    </row>
    <row r="210" spans="1:7">
      <c r="A210">
        <v>209</v>
      </c>
      <c r="B210" t="s">
        <v>213</v>
      </c>
      <c r="C210">
        <v>9</v>
      </c>
      <c r="D210" s="1" t="str">
        <f>_xlfn.XLOOKUP(C210, Brands!A:A, Brands!B:B)</f>
        <v>Trek</v>
      </c>
      <c r="E210">
        <v>4</v>
      </c>
      <c r="F210">
        <v>2018</v>
      </c>
      <c r="G210" s="12">
        <v>2999.99</v>
      </c>
    </row>
    <row r="211" spans="1:7">
      <c r="A211">
        <v>210</v>
      </c>
      <c r="B211" t="s">
        <v>59</v>
      </c>
      <c r="C211">
        <v>8</v>
      </c>
      <c r="D211" s="1" t="str">
        <f>_xlfn.XLOOKUP(C211, Brands!A:A, Brands!B:B)</f>
        <v>Surly</v>
      </c>
      <c r="E211">
        <v>4</v>
      </c>
      <c r="F211">
        <v>2018</v>
      </c>
      <c r="G211" s="12">
        <v>1549</v>
      </c>
    </row>
    <row r="212" spans="1:7">
      <c r="A212">
        <v>211</v>
      </c>
      <c r="B212" t="s">
        <v>60</v>
      </c>
      <c r="C212">
        <v>8</v>
      </c>
      <c r="D212" s="1" t="str">
        <f>_xlfn.XLOOKUP(C212, Brands!A:A, Brands!B:B)</f>
        <v>Surly</v>
      </c>
      <c r="E212">
        <v>4</v>
      </c>
      <c r="F212">
        <v>2018</v>
      </c>
      <c r="G212" s="12">
        <v>1549</v>
      </c>
    </row>
    <row r="213" spans="1:7">
      <c r="A213">
        <v>212</v>
      </c>
      <c r="B213" t="s">
        <v>61</v>
      </c>
      <c r="C213">
        <v>1</v>
      </c>
      <c r="D213" s="1" t="str">
        <f>_xlfn.XLOOKUP(C213, Brands!A:A, Brands!B:B)</f>
        <v>Electra</v>
      </c>
      <c r="E213">
        <v>3</v>
      </c>
      <c r="F213">
        <v>2018</v>
      </c>
      <c r="G213" s="12">
        <v>559.99</v>
      </c>
    </row>
    <row r="214" spans="1:7">
      <c r="A214">
        <v>213</v>
      </c>
      <c r="B214" t="s">
        <v>214</v>
      </c>
      <c r="C214">
        <v>1</v>
      </c>
      <c r="D214" s="1" t="str">
        <f>_xlfn.XLOOKUP(C214, Brands!A:A, Brands!B:B)</f>
        <v>Electra</v>
      </c>
      <c r="E214">
        <v>3</v>
      </c>
      <c r="F214">
        <v>2018</v>
      </c>
      <c r="G214" s="12">
        <v>269.99</v>
      </c>
    </row>
    <row r="215" spans="1:7">
      <c r="A215">
        <v>214</v>
      </c>
      <c r="B215" t="s">
        <v>215</v>
      </c>
      <c r="C215">
        <v>1</v>
      </c>
      <c r="D215" s="1" t="str">
        <f>_xlfn.XLOOKUP(C215, Brands!A:A, Brands!B:B)</f>
        <v>Electra</v>
      </c>
      <c r="E215">
        <v>3</v>
      </c>
      <c r="F215">
        <v>2018</v>
      </c>
      <c r="G215" s="12">
        <v>899.99</v>
      </c>
    </row>
    <row r="216" spans="1:7">
      <c r="A216">
        <v>215</v>
      </c>
      <c r="B216" t="s">
        <v>216</v>
      </c>
      <c r="C216">
        <v>1</v>
      </c>
      <c r="D216" s="1" t="str">
        <f>_xlfn.XLOOKUP(C216, Brands!A:A, Brands!B:B)</f>
        <v>Electra</v>
      </c>
      <c r="E216">
        <v>3</v>
      </c>
      <c r="F216">
        <v>2018</v>
      </c>
      <c r="G216" s="12">
        <v>749.99</v>
      </c>
    </row>
    <row r="217" spans="1:7">
      <c r="A217">
        <v>216</v>
      </c>
      <c r="B217" t="s">
        <v>217</v>
      </c>
      <c r="C217">
        <v>1</v>
      </c>
      <c r="D217" s="1" t="str">
        <f>_xlfn.XLOOKUP(C217, Brands!A:A, Brands!B:B)</f>
        <v>Electra</v>
      </c>
      <c r="E217">
        <v>3</v>
      </c>
      <c r="F217">
        <v>2018</v>
      </c>
      <c r="G217" s="12">
        <v>899.99</v>
      </c>
    </row>
    <row r="218" spans="1:7">
      <c r="A218">
        <v>217</v>
      </c>
      <c r="B218" t="s">
        <v>218</v>
      </c>
      <c r="C218">
        <v>1</v>
      </c>
      <c r="D218" s="1" t="str">
        <f>_xlfn.XLOOKUP(C218, Brands!A:A, Brands!B:B)</f>
        <v>Electra</v>
      </c>
      <c r="E218">
        <v>3</v>
      </c>
      <c r="F218">
        <v>2018</v>
      </c>
      <c r="G218" s="12">
        <v>909.99</v>
      </c>
    </row>
    <row r="219" spans="1:7">
      <c r="A219">
        <v>218</v>
      </c>
      <c r="B219" t="s">
        <v>219</v>
      </c>
      <c r="C219">
        <v>1</v>
      </c>
      <c r="D219" s="1" t="str">
        <f>_xlfn.XLOOKUP(C219, Brands!A:A, Brands!B:B)</f>
        <v>Electra</v>
      </c>
      <c r="E219">
        <v>3</v>
      </c>
      <c r="F219">
        <v>2018</v>
      </c>
      <c r="G219" s="12">
        <v>319.99</v>
      </c>
    </row>
    <row r="220" spans="1:7">
      <c r="A220">
        <v>219</v>
      </c>
      <c r="B220" t="s">
        <v>220</v>
      </c>
      <c r="C220">
        <v>1</v>
      </c>
      <c r="D220" s="1" t="str">
        <f>_xlfn.XLOOKUP(C220, Brands!A:A, Brands!B:B)</f>
        <v>Electra</v>
      </c>
      <c r="E220">
        <v>3</v>
      </c>
      <c r="F220">
        <v>2018</v>
      </c>
      <c r="G220" s="12">
        <v>639.99</v>
      </c>
    </row>
    <row r="221" spans="1:7">
      <c r="A221">
        <v>220</v>
      </c>
      <c r="B221" t="s">
        <v>221</v>
      </c>
      <c r="C221">
        <v>1</v>
      </c>
      <c r="D221" s="1" t="str">
        <f>_xlfn.XLOOKUP(C221, Brands!A:A, Brands!B:B)</f>
        <v>Electra</v>
      </c>
      <c r="E221">
        <v>3</v>
      </c>
      <c r="F221">
        <v>2018</v>
      </c>
      <c r="G221" s="12">
        <v>269.99</v>
      </c>
    </row>
    <row r="222" spans="1:7">
      <c r="A222">
        <v>221</v>
      </c>
      <c r="B222" t="s">
        <v>222</v>
      </c>
      <c r="C222">
        <v>1</v>
      </c>
      <c r="D222" s="1" t="str">
        <f>_xlfn.XLOOKUP(C222, Brands!A:A, Brands!B:B)</f>
        <v>Electra</v>
      </c>
      <c r="E222">
        <v>3</v>
      </c>
      <c r="F222">
        <v>2018</v>
      </c>
      <c r="G222" s="12">
        <v>319.99</v>
      </c>
    </row>
    <row r="223" spans="1:7">
      <c r="A223">
        <v>222</v>
      </c>
      <c r="B223" t="s">
        <v>223</v>
      </c>
      <c r="C223">
        <v>1</v>
      </c>
      <c r="D223" s="1" t="str">
        <f>_xlfn.XLOOKUP(C223, Brands!A:A, Brands!B:B)</f>
        <v>Electra</v>
      </c>
      <c r="E223">
        <v>3</v>
      </c>
      <c r="F223">
        <v>2018</v>
      </c>
      <c r="G223" s="12">
        <v>269.99</v>
      </c>
    </row>
    <row r="224" spans="1:7">
      <c r="A224">
        <v>223</v>
      </c>
      <c r="B224" t="s">
        <v>224</v>
      </c>
      <c r="C224">
        <v>1</v>
      </c>
      <c r="D224" s="1" t="str">
        <f>_xlfn.XLOOKUP(C224, Brands!A:A, Brands!B:B)</f>
        <v>Electra</v>
      </c>
      <c r="E224">
        <v>3</v>
      </c>
      <c r="F224">
        <v>2018</v>
      </c>
      <c r="G224" s="12">
        <v>529.99</v>
      </c>
    </row>
    <row r="225" spans="1:7">
      <c r="A225">
        <v>224</v>
      </c>
      <c r="B225" t="s">
        <v>225</v>
      </c>
      <c r="C225">
        <v>1</v>
      </c>
      <c r="D225" s="1" t="str">
        <f>_xlfn.XLOOKUP(C225, Brands!A:A, Brands!B:B)</f>
        <v>Electra</v>
      </c>
      <c r="E225">
        <v>3</v>
      </c>
      <c r="F225">
        <v>2018</v>
      </c>
      <c r="G225" s="12">
        <v>479.99</v>
      </c>
    </row>
    <row r="226" spans="1:7">
      <c r="A226">
        <v>225</v>
      </c>
      <c r="B226" t="s">
        <v>226</v>
      </c>
      <c r="C226">
        <v>1</v>
      </c>
      <c r="D226" s="1" t="str">
        <f>_xlfn.XLOOKUP(C226, Brands!A:A, Brands!B:B)</f>
        <v>Electra</v>
      </c>
      <c r="E226">
        <v>3</v>
      </c>
      <c r="F226">
        <v>2018</v>
      </c>
      <c r="G226" s="12">
        <v>959.99</v>
      </c>
    </row>
    <row r="227" spans="1:7">
      <c r="A227">
        <v>226</v>
      </c>
      <c r="B227" t="s">
        <v>227</v>
      </c>
      <c r="C227">
        <v>1</v>
      </c>
      <c r="D227" s="1" t="str">
        <f>_xlfn.XLOOKUP(C227, Brands!A:A, Brands!B:B)</f>
        <v>Electra</v>
      </c>
      <c r="E227">
        <v>3</v>
      </c>
      <c r="F227">
        <v>2018</v>
      </c>
      <c r="G227" s="12">
        <v>679.99</v>
      </c>
    </row>
    <row r="228" spans="1:7">
      <c r="A228">
        <v>227</v>
      </c>
      <c r="B228" t="s">
        <v>33</v>
      </c>
      <c r="C228">
        <v>1</v>
      </c>
      <c r="D228" s="1" t="str">
        <f>_xlfn.XLOOKUP(C228, Brands!A:A, Brands!B:B)</f>
        <v>Electra</v>
      </c>
      <c r="E228">
        <v>3</v>
      </c>
      <c r="F228">
        <v>2018</v>
      </c>
      <c r="G228" s="12">
        <v>319.99</v>
      </c>
    </row>
    <row r="229" spans="1:7">
      <c r="A229">
        <v>228</v>
      </c>
      <c r="B229" t="s">
        <v>228</v>
      </c>
      <c r="C229">
        <v>1</v>
      </c>
      <c r="D229" s="1" t="str">
        <f>_xlfn.XLOOKUP(C229, Brands!A:A, Brands!B:B)</f>
        <v>Electra</v>
      </c>
      <c r="E229">
        <v>3</v>
      </c>
      <c r="F229">
        <v>2018</v>
      </c>
      <c r="G229" s="12">
        <v>319.99</v>
      </c>
    </row>
    <row r="230" spans="1:7">
      <c r="A230">
        <v>229</v>
      </c>
      <c r="B230" t="s">
        <v>105</v>
      </c>
      <c r="C230">
        <v>1</v>
      </c>
      <c r="D230" s="1" t="str">
        <f>_xlfn.XLOOKUP(C230, Brands!A:A, Brands!B:B)</f>
        <v>Electra</v>
      </c>
      <c r="E230">
        <v>3</v>
      </c>
      <c r="F230">
        <v>2018</v>
      </c>
      <c r="G230" s="12">
        <v>429.99</v>
      </c>
    </row>
    <row r="231" spans="1:7">
      <c r="A231">
        <v>230</v>
      </c>
      <c r="B231" t="s">
        <v>229</v>
      </c>
      <c r="C231">
        <v>1</v>
      </c>
      <c r="D231" s="1" t="str">
        <f>_xlfn.XLOOKUP(C231, Brands!A:A, Brands!B:B)</f>
        <v>Electra</v>
      </c>
      <c r="E231">
        <v>3</v>
      </c>
      <c r="F231">
        <v>2018</v>
      </c>
      <c r="G231" s="12">
        <v>429.99</v>
      </c>
    </row>
    <row r="232" spans="1:7">
      <c r="A232">
        <v>231</v>
      </c>
      <c r="B232" t="s">
        <v>230</v>
      </c>
      <c r="C232">
        <v>1</v>
      </c>
      <c r="D232" s="1" t="str">
        <f>_xlfn.XLOOKUP(C232, Brands!A:A, Brands!B:B)</f>
        <v>Electra</v>
      </c>
      <c r="E232">
        <v>3</v>
      </c>
      <c r="F232">
        <v>2018</v>
      </c>
      <c r="G232" s="12">
        <v>529.99</v>
      </c>
    </row>
    <row r="233" spans="1:7">
      <c r="A233">
        <v>232</v>
      </c>
      <c r="B233" t="s">
        <v>231</v>
      </c>
      <c r="C233">
        <v>1</v>
      </c>
      <c r="D233" s="1" t="str">
        <f>_xlfn.XLOOKUP(C233, Brands!A:A, Brands!B:B)</f>
        <v>Electra</v>
      </c>
      <c r="E233">
        <v>3</v>
      </c>
      <c r="F233">
        <v>2018</v>
      </c>
      <c r="G233" s="12">
        <v>479.99</v>
      </c>
    </row>
    <row r="234" spans="1:7">
      <c r="A234">
        <v>233</v>
      </c>
      <c r="B234" t="s">
        <v>232</v>
      </c>
      <c r="C234">
        <v>1</v>
      </c>
      <c r="D234" s="1" t="str">
        <f>_xlfn.XLOOKUP(C234, Brands!A:A, Brands!B:B)</f>
        <v>Electra</v>
      </c>
      <c r="E234">
        <v>3</v>
      </c>
      <c r="F234">
        <v>2018</v>
      </c>
      <c r="G234" s="12">
        <v>639.99</v>
      </c>
    </row>
    <row r="235" spans="1:7">
      <c r="A235">
        <v>234</v>
      </c>
      <c r="B235" t="s">
        <v>233</v>
      </c>
      <c r="C235">
        <v>1</v>
      </c>
      <c r="D235" s="1" t="str">
        <f>_xlfn.XLOOKUP(C235, Brands!A:A, Brands!B:B)</f>
        <v>Electra</v>
      </c>
      <c r="E235">
        <v>3</v>
      </c>
      <c r="F235">
        <v>2018</v>
      </c>
      <c r="G235" s="12">
        <v>899.99</v>
      </c>
    </row>
    <row r="236" spans="1:7">
      <c r="A236">
        <v>235</v>
      </c>
      <c r="B236" t="s">
        <v>234</v>
      </c>
      <c r="C236">
        <v>1</v>
      </c>
      <c r="D236" s="1" t="str">
        <f>_xlfn.XLOOKUP(C236, Brands!A:A, Brands!B:B)</f>
        <v>Electra</v>
      </c>
      <c r="E236">
        <v>3</v>
      </c>
      <c r="F236">
        <v>2018</v>
      </c>
      <c r="G236" s="12">
        <v>899.99</v>
      </c>
    </row>
    <row r="237" spans="1:7">
      <c r="A237">
        <v>236</v>
      </c>
      <c r="B237" t="s">
        <v>235</v>
      </c>
      <c r="C237">
        <v>1</v>
      </c>
      <c r="D237" s="1" t="str">
        <f>_xlfn.XLOOKUP(C237, Brands!A:A, Brands!B:B)</f>
        <v>Electra</v>
      </c>
      <c r="E237">
        <v>3</v>
      </c>
      <c r="F237">
        <v>2018</v>
      </c>
      <c r="G237" s="12">
        <v>749.99</v>
      </c>
    </row>
    <row r="238" spans="1:7">
      <c r="A238">
        <v>237</v>
      </c>
      <c r="B238" t="s">
        <v>236</v>
      </c>
      <c r="C238">
        <v>1</v>
      </c>
      <c r="D238" s="1" t="str">
        <f>_xlfn.XLOOKUP(C238, Brands!A:A, Brands!B:B)</f>
        <v>Electra</v>
      </c>
      <c r="E238">
        <v>3</v>
      </c>
      <c r="F238">
        <v>2018</v>
      </c>
      <c r="G238" s="12">
        <v>849.99</v>
      </c>
    </row>
    <row r="239" spans="1:7">
      <c r="A239">
        <v>238</v>
      </c>
      <c r="B239" t="s">
        <v>237</v>
      </c>
      <c r="C239">
        <v>1</v>
      </c>
      <c r="D239" s="1" t="str">
        <f>_xlfn.XLOOKUP(C239, Brands!A:A, Brands!B:B)</f>
        <v>Electra</v>
      </c>
      <c r="E239">
        <v>3</v>
      </c>
      <c r="F239">
        <v>2018</v>
      </c>
      <c r="G239" s="12">
        <v>749.99</v>
      </c>
    </row>
    <row r="240" spans="1:7">
      <c r="A240">
        <v>239</v>
      </c>
      <c r="B240" t="s">
        <v>238</v>
      </c>
      <c r="C240">
        <v>1</v>
      </c>
      <c r="D240" s="1" t="str">
        <f>_xlfn.XLOOKUP(C240, Brands!A:A, Brands!B:B)</f>
        <v>Electra</v>
      </c>
      <c r="E240">
        <v>3</v>
      </c>
      <c r="F240">
        <v>2018</v>
      </c>
      <c r="G240" s="12">
        <v>749.99</v>
      </c>
    </row>
    <row r="241" spans="1:7">
      <c r="A241">
        <v>240</v>
      </c>
      <c r="B241" t="s">
        <v>239</v>
      </c>
      <c r="C241">
        <v>1</v>
      </c>
      <c r="D241" s="1" t="str">
        <f>_xlfn.XLOOKUP(C241, Brands!A:A, Brands!B:B)</f>
        <v>Electra</v>
      </c>
      <c r="E241">
        <v>3</v>
      </c>
      <c r="F241">
        <v>2018</v>
      </c>
      <c r="G241" s="12">
        <v>899.99</v>
      </c>
    </row>
    <row r="242" spans="1:7">
      <c r="A242">
        <v>241</v>
      </c>
      <c r="B242" t="s">
        <v>240</v>
      </c>
      <c r="C242">
        <v>1</v>
      </c>
      <c r="D242" s="1" t="str">
        <f>_xlfn.XLOOKUP(C242, Brands!A:A, Brands!B:B)</f>
        <v>Electra</v>
      </c>
      <c r="E242">
        <v>3</v>
      </c>
      <c r="F242">
        <v>2018</v>
      </c>
      <c r="G242" s="12">
        <v>749.99</v>
      </c>
    </row>
    <row r="243" spans="1:7">
      <c r="A243">
        <v>242</v>
      </c>
      <c r="B243" t="s">
        <v>241</v>
      </c>
      <c r="C243">
        <v>1</v>
      </c>
      <c r="D243" s="1" t="str">
        <f>_xlfn.XLOOKUP(C243, Brands!A:A, Brands!B:B)</f>
        <v>Electra</v>
      </c>
      <c r="E243">
        <v>3</v>
      </c>
      <c r="F243">
        <v>2018</v>
      </c>
      <c r="G243" s="12">
        <v>699.99</v>
      </c>
    </row>
    <row r="244" spans="1:7">
      <c r="A244">
        <v>243</v>
      </c>
      <c r="B244" t="s">
        <v>242</v>
      </c>
      <c r="C244">
        <v>1</v>
      </c>
      <c r="D244" s="1" t="str">
        <f>_xlfn.XLOOKUP(C244, Brands!A:A, Brands!B:B)</f>
        <v>Electra</v>
      </c>
      <c r="E244">
        <v>3</v>
      </c>
      <c r="F244">
        <v>2018</v>
      </c>
      <c r="G244" s="12">
        <v>679.99</v>
      </c>
    </row>
    <row r="245" spans="1:7">
      <c r="A245">
        <v>244</v>
      </c>
      <c r="B245" t="s">
        <v>243</v>
      </c>
      <c r="C245">
        <v>1</v>
      </c>
      <c r="D245" s="1" t="str">
        <f>_xlfn.XLOOKUP(C245, Brands!A:A, Brands!B:B)</f>
        <v>Electra</v>
      </c>
      <c r="E245">
        <v>3</v>
      </c>
      <c r="F245">
        <v>2018</v>
      </c>
      <c r="G245" s="12">
        <v>559.99</v>
      </c>
    </row>
    <row r="246" spans="1:7">
      <c r="A246">
        <v>245</v>
      </c>
      <c r="B246" t="s">
        <v>244</v>
      </c>
      <c r="C246">
        <v>1</v>
      </c>
      <c r="D246" s="1" t="str">
        <f>_xlfn.XLOOKUP(C246, Brands!A:A, Brands!B:B)</f>
        <v>Electra</v>
      </c>
      <c r="E246">
        <v>3</v>
      </c>
      <c r="F246">
        <v>2018</v>
      </c>
      <c r="G246" s="12">
        <v>659.99</v>
      </c>
    </row>
    <row r="247" spans="1:7">
      <c r="A247">
        <v>246</v>
      </c>
      <c r="B247" t="s">
        <v>245</v>
      </c>
      <c r="C247">
        <v>1</v>
      </c>
      <c r="D247" s="1" t="str">
        <f>_xlfn.XLOOKUP(C247, Brands!A:A, Brands!B:B)</f>
        <v>Electra</v>
      </c>
      <c r="E247">
        <v>3</v>
      </c>
      <c r="F247">
        <v>2018</v>
      </c>
      <c r="G247" s="12">
        <v>639.99</v>
      </c>
    </row>
    <row r="248" spans="1:7">
      <c r="A248">
        <v>247</v>
      </c>
      <c r="B248" t="s">
        <v>63</v>
      </c>
      <c r="C248">
        <v>1</v>
      </c>
      <c r="D248" s="1" t="str">
        <f>_xlfn.XLOOKUP(C248, Brands!A:A, Brands!B:B)</f>
        <v>Electra</v>
      </c>
      <c r="E248">
        <v>3</v>
      </c>
      <c r="F248">
        <v>2018</v>
      </c>
      <c r="G248" s="12">
        <v>599.99</v>
      </c>
    </row>
    <row r="249" spans="1:7">
      <c r="A249">
        <v>248</v>
      </c>
      <c r="B249" t="s">
        <v>246</v>
      </c>
      <c r="C249">
        <v>1</v>
      </c>
      <c r="D249" s="1" t="str">
        <f>_xlfn.XLOOKUP(C249, Brands!A:A, Brands!B:B)</f>
        <v>Electra</v>
      </c>
      <c r="E249">
        <v>3</v>
      </c>
      <c r="F249">
        <v>2018</v>
      </c>
      <c r="G249" s="12">
        <v>599.99</v>
      </c>
    </row>
    <row r="250" spans="1:7">
      <c r="A250">
        <v>249</v>
      </c>
      <c r="B250" t="s">
        <v>247</v>
      </c>
      <c r="C250">
        <v>1</v>
      </c>
      <c r="D250" s="1" t="str">
        <f>_xlfn.XLOOKUP(C250, Brands!A:A, Brands!B:B)</f>
        <v>Electra</v>
      </c>
      <c r="E250">
        <v>3</v>
      </c>
      <c r="F250">
        <v>2018</v>
      </c>
      <c r="G250" s="12">
        <v>749.99</v>
      </c>
    </row>
    <row r="251" spans="1:7">
      <c r="A251">
        <v>250</v>
      </c>
      <c r="B251" t="s">
        <v>196</v>
      </c>
      <c r="C251">
        <v>1</v>
      </c>
      <c r="D251" s="1" t="str">
        <f>_xlfn.XLOOKUP(C251, Brands!A:A, Brands!B:B)</f>
        <v>Electra</v>
      </c>
      <c r="E251">
        <v>3</v>
      </c>
      <c r="F251">
        <v>2018</v>
      </c>
      <c r="G251" s="12">
        <v>2599.9899999999998</v>
      </c>
    </row>
    <row r="252" spans="1:7">
      <c r="A252">
        <v>251</v>
      </c>
      <c r="B252" t="s">
        <v>202</v>
      </c>
      <c r="C252">
        <v>1</v>
      </c>
      <c r="D252" s="1" t="str">
        <f>_xlfn.XLOOKUP(C252, Brands!A:A, Brands!B:B)</f>
        <v>Electra</v>
      </c>
      <c r="E252">
        <v>3</v>
      </c>
      <c r="F252">
        <v>2018</v>
      </c>
      <c r="G252" s="12">
        <v>2999.99</v>
      </c>
    </row>
    <row r="253" spans="1:7">
      <c r="A253">
        <v>252</v>
      </c>
      <c r="B253" t="s">
        <v>203</v>
      </c>
      <c r="C253">
        <v>1</v>
      </c>
      <c r="D253" s="1" t="str">
        <f>_xlfn.XLOOKUP(C253, Brands!A:A, Brands!B:B)</f>
        <v>Electra</v>
      </c>
      <c r="E253">
        <v>3</v>
      </c>
      <c r="F253">
        <v>2018</v>
      </c>
      <c r="G253" s="12">
        <v>2999.99</v>
      </c>
    </row>
    <row r="254" spans="1:7">
      <c r="A254">
        <v>253</v>
      </c>
      <c r="B254" t="s">
        <v>199</v>
      </c>
      <c r="C254">
        <v>1</v>
      </c>
      <c r="D254" s="1" t="str">
        <f>_xlfn.XLOOKUP(C254, Brands!A:A, Brands!B:B)</f>
        <v>Electra</v>
      </c>
      <c r="E254">
        <v>3</v>
      </c>
      <c r="F254">
        <v>2018</v>
      </c>
      <c r="G254" s="12">
        <v>2599.9899999999998</v>
      </c>
    </row>
    <row r="255" spans="1:7">
      <c r="A255">
        <v>254</v>
      </c>
      <c r="B255" t="s">
        <v>248</v>
      </c>
      <c r="C255">
        <v>1</v>
      </c>
      <c r="D255" s="1" t="str">
        <f>_xlfn.XLOOKUP(C255, Brands!A:A, Brands!B:B)</f>
        <v>Electra</v>
      </c>
      <c r="E255">
        <v>3</v>
      </c>
      <c r="F255">
        <v>2018</v>
      </c>
      <c r="G255" s="12">
        <v>749.99</v>
      </c>
    </row>
    <row r="256" spans="1:7">
      <c r="A256">
        <v>255</v>
      </c>
      <c r="B256" t="s">
        <v>249</v>
      </c>
      <c r="C256">
        <v>1</v>
      </c>
      <c r="D256" s="1" t="str">
        <f>_xlfn.XLOOKUP(C256, Brands!A:A, Brands!B:B)</f>
        <v>Electra</v>
      </c>
      <c r="E256">
        <v>3</v>
      </c>
      <c r="F256">
        <v>2018</v>
      </c>
      <c r="G256" s="12">
        <v>899.99</v>
      </c>
    </row>
    <row r="257" spans="1:7">
      <c r="A257">
        <v>256</v>
      </c>
      <c r="B257" t="s">
        <v>250</v>
      </c>
      <c r="C257">
        <v>1</v>
      </c>
      <c r="D257" s="1" t="str">
        <f>_xlfn.XLOOKUP(C257, Brands!A:A, Brands!B:B)</f>
        <v>Electra</v>
      </c>
      <c r="E257">
        <v>3</v>
      </c>
      <c r="F257">
        <v>2018</v>
      </c>
      <c r="G257" s="12">
        <v>899.99</v>
      </c>
    </row>
    <row r="258" spans="1:7">
      <c r="A258">
        <v>257</v>
      </c>
      <c r="B258" t="s">
        <v>251</v>
      </c>
      <c r="C258">
        <v>1</v>
      </c>
      <c r="D258" s="1" t="str">
        <f>_xlfn.XLOOKUP(C258, Brands!A:A, Brands!B:B)</f>
        <v>Electra</v>
      </c>
      <c r="E258">
        <v>3</v>
      </c>
      <c r="F258">
        <v>2018</v>
      </c>
      <c r="G258" s="12">
        <v>899.99</v>
      </c>
    </row>
    <row r="259" spans="1:7">
      <c r="A259">
        <v>258</v>
      </c>
      <c r="B259" t="s">
        <v>252</v>
      </c>
      <c r="C259">
        <v>1</v>
      </c>
      <c r="D259" s="1" t="str">
        <f>_xlfn.XLOOKUP(C259, Brands!A:A, Brands!B:B)</f>
        <v>Electra</v>
      </c>
      <c r="E259">
        <v>3</v>
      </c>
      <c r="F259">
        <v>2018</v>
      </c>
      <c r="G259" s="12">
        <v>1259.9000000000001</v>
      </c>
    </row>
    <row r="260" spans="1:7">
      <c r="A260">
        <v>259</v>
      </c>
      <c r="B260" t="s">
        <v>253</v>
      </c>
      <c r="C260">
        <v>1</v>
      </c>
      <c r="D260" s="1" t="str">
        <f>_xlfn.XLOOKUP(C260, Brands!A:A, Brands!B:B)</f>
        <v>Electra</v>
      </c>
      <c r="E260">
        <v>3</v>
      </c>
      <c r="F260">
        <v>2018</v>
      </c>
      <c r="G260" s="12">
        <v>1199.99</v>
      </c>
    </row>
    <row r="261" spans="1:7">
      <c r="A261">
        <v>260</v>
      </c>
      <c r="B261" t="s">
        <v>254</v>
      </c>
      <c r="C261">
        <v>1</v>
      </c>
      <c r="D261" s="1" t="str">
        <f>_xlfn.XLOOKUP(C261, Brands!A:A, Brands!B:B)</f>
        <v>Electra</v>
      </c>
      <c r="E261">
        <v>3</v>
      </c>
      <c r="F261">
        <v>2018</v>
      </c>
      <c r="G261" s="12">
        <v>799.99</v>
      </c>
    </row>
    <row r="262" spans="1:7">
      <c r="A262">
        <v>261</v>
      </c>
      <c r="B262" t="s">
        <v>255</v>
      </c>
      <c r="C262">
        <v>1</v>
      </c>
      <c r="D262" s="1" t="str">
        <f>_xlfn.XLOOKUP(C262, Brands!A:A, Brands!B:B)</f>
        <v>Electra</v>
      </c>
      <c r="E262">
        <v>3</v>
      </c>
      <c r="F262">
        <v>2018</v>
      </c>
      <c r="G262" s="12">
        <v>899.99</v>
      </c>
    </row>
    <row r="263" spans="1:7">
      <c r="A263">
        <v>262</v>
      </c>
      <c r="B263" t="s">
        <v>256</v>
      </c>
      <c r="C263">
        <v>9</v>
      </c>
      <c r="D263" s="1" t="str">
        <f>_xlfn.XLOOKUP(C263, Brands!A:A, Brands!B:B)</f>
        <v>Trek</v>
      </c>
      <c r="E263">
        <v>1</v>
      </c>
      <c r="F263">
        <v>2018</v>
      </c>
      <c r="G263" s="12">
        <v>249.99</v>
      </c>
    </row>
    <row r="264" spans="1:7">
      <c r="A264">
        <v>263</v>
      </c>
      <c r="B264" t="s">
        <v>257</v>
      </c>
      <c r="C264">
        <v>6</v>
      </c>
      <c r="D264" s="1" t="str">
        <f>_xlfn.XLOOKUP(C264, Brands!A:A, Brands!B:B)</f>
        <v>Strider</v>
      </c>
      <c r="E264">
        <v>1</v>
      </c>
      <c r="F264">
        <v>2018</v>
      </c>
      <c r="G264" s="12">
        <v>89.99</v>
      </c>
    </row>
    <row r="265" spans="1:7">
      <c r="A265">
        <v>264</v>
      </c>
      <c r="B265" t="s">
        <v>258</v>
      </c>
      <c r="C265">
        <v>6</v>
      </c>
      <c r="D265" s="1" t="str">
        <f>_xlfn.XLOOKUP(C265, Brands!A:A, Brands!B:B)</f>
        <v>Strider</v>
      </c>
      <c r="E265">
        <v>1</v>
      </c>
      <c r="F265">
        <v>2018</v>
      </c>
      <c r="G265" s="12">
        <v>249.99</v>
      </c>
    </row>
    <row r="266" spans="1:7">
      <c r="A266">
        <v>265</v>
      </c>
      <c r="B266" t="s">
        <v>259</v>
      </c>
      <c r="C266">
        <v>6</v>
      </c>
      <c r="D266" s="1" t="str">
        <f>_xlfn.XLOOKUP(C266, Brands!A:A, Brands!B:B)</f>
        <v>Strider</v>
      </c>
      <c r="E266">
        <v>1</v>
      </c>
      <c r="F266">
        <v>2018</v>
      </c>
      <c r="G266" s="12">
        <v>289.99</v>
      </c>
    </row>
    <row r="267" spans="1:7">
      <c r="A267">
        <v>266</v>
      </c>
      <c r="B267" t="s">
        <v>260</v>
      </c>
      <c r="C267">
        <v>9</v>
      </c>
      <c r="D267" s="1" t="str">
        <f>_xlfn.XLOOKUP(C267, Brands!A:A, Brands!B:B)</f>
        <v>Trek</v>
      </c>
      <c r="E267">
        <v>1</v>
      </c>
      <c r="F267">
        <v>2018</v>
      </c>
      <c r="G267" s="12">
        <v>399.99</v>
      </c>
    </row>
    <row r="268" spans="1:7">
      <c r="A268">
        <v>267</v>
      </c>
      <c r="B268" t="s">
        <v>261</v>
      </c>
      <c r="C268">
        <v>9</v>
      </c>
      <c r="D268" s="1" t="str">
        <f>_xlfn.XLOOKUP(C268, Brands!A:A, Brands!B:B)</f>
        <v>Trek</v>
      </c>
      <c r="E268">
        <v>1</v>
      </c>
      <c r="F268">
        <v>2018</v>
      </c>
      <c r="G268" s="12">
        <v>199.99</v>
      </c>
    </row>
    <row r="269" spans="1:7">
      <c r="A269">
        <v>268</v>
      </c>
      <c r="B269" t="s">
        <v>262</v>
      </c>
      <c r="C269">
        <v>9</v>
      </c>
      <c r="D269" s="1" t="str">
        <f>_xlfn.XLOOKUP(C269, Brands!A:A, Brands!B:B)</f>
        <v>Trek</v>
      </c>
      <c r="E269">
        <v>1</v>
      </c>
      <c r="F269">
        <v>2018</v>
      </c>
      <c r="G269" s="12">
        <v>159.99</v>
      </c>
    </row>
    <row r="270" spans="1:7">
      <c r="A270">
        <v>269</v>
      </c>
      <c r="B270" t="s">
        <v>263</v>
      </c>
      <c r="C270">
        <v>9</v>
      </c>
      <c r="D270" s="1" t="str">
        <f>_xlfn.XLOOKUP(C270, Brands!A:A, Brands!B:B)</f>
        <v>Trek</v>
      </c>
      <c r="E270">
        <v>1</v>
      </c>
      <c r="F270">
        <v>2018</v>
      </c>
      <c r="G270" s="12">
        <v>199.99</v>
      </c>
    </row>
    <row r="271" spans="1:7">
      <c r="A271">
        <v>270</v>
      </c>
      <c r="B271" t="s">
        <v>264</v>
      </c>
      <c r="C271">
        <v>9</v>
      </c>
      <c r="D271" s="1" t="str">
        <f>_xlfn.XLOOKUP(C271, Brands!A:A, Brands!B:B)</f>
        <v>Trek</v>
      </c>
      <c r="E271">
        <v>1</v>
      </c>
      <c r="F271">
        <v>2018</v>
      </c>
      <c r="G271" s="12">
        <v>209.99</v>
      </c>
    </row>
    <row r="272" spans="1:7">
      <c r="A272">
        <v>271</v>
      </c>
      <c r="B272" t="s">
        <v>265</v>
      </c>
      <c r="C272">
        <v>9</v>
      </c>
      <c r="D272" s="1" t="str">
        <f>_xlfn.XLOOKUP(C272, Brands!A:A, Brands!B:B)</f>
        <v>Trek</v>
      </c>
      <c r="E272">
        <v>1</v>
      </c>
      <c r="F272">
        <v>2018</v>
      </c>
      <c r="G272" s="12">
        <v>209.99</v>
      </c>
    </row>
    <row r="273" spans="1:7">
      <c r="A273">
        <v>272</v>
      </c>
      <c r="B273" t="s">
        <v>34</v>
      </c>
      <c r="C273">
        <v>9</v>
      </c>
      <c r="D273" s="1" t="str">
        <f>_xlfn.XLOOKUP(C273, Brands!A:A, Brands!B:B)</f>
        <v>Trek</v>
      </c>
      <c r="E273">
        <v>1</v>
      </c>
      <c r="F273">
        <v>2018</v>
      </c>
      <c r="G273" s="12">
        <v>289.99</v>
      </c>
    </row>
    <row r="274" spans="1:7">
      <c r="A274">
        <v>273</v>
      </c>
      <c r="B274" t="s">
        <v>34</v>
      </c>
      <c r="C274">
        <v>9</v>
      </c>
      <c r="D274" s="1" t="str">
        <f>_xlfn.XLOOKUP(C274, Brands!A:A, Brands!B:B)</f>
        <v>Trek</v>
      </c>
      <c r="E274">
        <v>1</v>
      </c>
      <c r="F274">
        <v>2018</v>
      </c>
      <c r="G274" s="12">
        <v>289.99</v>
      </c>
    </row>
    <row r="275" spans="1:7">
      <c r="A275">
        <v>274</v>
      </c>
      <c r="B275" t="s">
        <v>266</v>
      </c>
      <c r="C275">
        <v>9</v>
      </c>
      <c r="D275" s="1" t="str">
        <f>_xlfn.XLOOKUP(C275, Brands!A:A, Brands!B:B)</f>
        <v>Trek</v>
      </c>
      <c r="E275">
        <v>1</v>
      </c>
      <c r="F275">
        <v>2018</v>
      </c>
      <c r="G275" s="12">
        <v>229.99</v>
      </c>
    </row>
    <row r="276" spans="1:7">
      <c r="A276">
        <v>275</v>
      </c>
      <c r="B276" t="s">
        <v>267</v>
      </c>
      <c r="C276">
        <v>9</v>
      </c>
      <c r="D276" s="1" t="str">
        <f>_xlfn.XLOOKUP(C276, Brands!A:A, Brands!B:B)</f>
        <v>Trek</v>
      </c>
      <c r="E276">
        <v>1</v>
      </c>
      <c r="F276">
        <v>2018</v>
      </c>
      <c r="G276" s="12">
        <v>229.99</v>
      </c>
    </row>
    <row r="277" spans="1:7">
      <c r="A277">
        <v>276</v>
      </c>
      <c r="B277" t="s">
        <v>35</v>
      </c>
      <c r="C277">
        <v>9</v>
      </c>
      <c r="D277" s="1" t="str">
        <f>_xlfn.XLOOKUP(C277, Brands!A:A, Brands!B:B)</f>
        <v>Trek</v>
      </c>
      <c r="E277">
        <v>1</v>
      </c>
      <c r="F277">
        <v>2018</v>
      </c>
      <c r="G277" s="12">
        <v>319.99</v>
      </c>
    </row>
    <row r="278" spans="1:7">
      <c r="A278">
        <v>277</v>
      </c>
      <c r="B278" t="s">
        <v>36</v>
      </c>
      <c r="C278">
        <v>9</v>
      </c>
      <c r="D278" s="1" t="str">
        <f>_xlfn.XLOOKUP(C278, Brands!A:A, Brands!B:B)</f>
        <v>Trek</v>
      </c>
      <c r="E278">
        <v>1</v>
      </c>
      <c r="F278">
        <v>2018</v>
      </c>
      <c r="G278" s="12">
        <v>369.99</v>
      </c>
    </row>
    <row r="279" spans="1:7">
      <c r="A279">
        <v>278</v>
      </c>
      <c r="B279" t="s">
        <v>36</v>
      </c>
      <c r="C279">
        <v>9</v>
      </c>
      <c r="D279" s="1" t="str">
        <f>_xlfn.XLOOKUP(C279, Brands!A:A, Brands!B:B)</f>
        <v>Trek</v>
      </c>
      <c r="E279">
        <v>1</v>
      </c>
      <c r="F279">
        <v>2018</v>
      </c>
      <c r="G279" s="12">
        <v>369.99</v>
      </c>
    </row>
    <row r="280" spans="1:7">
      <c r="A280">
        <v>279</v>
      </c>
      <c r="B280" t="s">
        <v>37</v>
      </c>
      <c r="C280">
        <v>9</v>
      </c>
      <c r="D280" s="1" t="str">
        <f>_xlfn.XLOOKUP(C280, Brands!A:A, Brands!B:B)</f>
        <v>Trek</v>
      </c>
      <c r="E280">
        <v>1</v>
      </c>
      <c r="F280">
        <v>2018</v>
      </c>
      <c r="G280" s="12">
        <v>319.99</v>
      </c>
    </row>
    <row r="281" spans="1:7">
      <c r="A281">
        <v>280</v>
      </c>
      <c r="B281" t="s">
        <v>268</v>
      </c>
      <c r="C281">
        <v>9</v>
      </c>
      <c r="D281" s="1" t="str">
        <f>_xlfn.XLOOKUP(C281, Brands!A:A, Brands!B:B)</f>
        <v>Trek</v>
      </c>
      <c r="E281">
        <v>1</v>
      </c>
      <c r="F281">
        <v>2018</v>
      </c>
      <c r="G281" s="12">
        <v>489.99</v>
      </c>
    </row>
    <row r="282" spans="1:7">
      <c r="A282">
        <v>281</v>
      </c>
      <c r="B282" t="s">
        <v>33</v>
      </c>
      <c r="C282">
        <v>1</v>
      </c>
      <c r="D282" s="1" t="str">
        <f>_xlfn.XLOOKUP(C282, Brands!A:A, Brands!B:B)</f>
        <v>Electra</v>
      </c>
      <c r="E282">
        <v>1</v>
      </c>
      <c r="F282">
        <v>2018</v>
      </c>
      <c r="G282" s="12">
        <v>319.99</v>
      </c>
    </row>
    <row r="283" spans="1:7">
      <c r="A283">
        <v>282</v>
      </c>
      <c r="B283" t="s">
        <v>38</v>
      </c>
      <c r="C283">
        <v>1</v>
      </c>
      <c r="D283" s="1" t="str">
        <f>_xlfn.XLOOKUP(C283, Brands!A:A, Brands!B:B)</f>
        <v>Electra</v>
      </c>
      <c r="E283">
        <v>1</v>
      </c>
      <c r="F283">
        <v>2018</v>
      </c>
      <c r="G283" s="12">
        <v>279.99</v>
      </c>
    </row>
    <row r="284" spans="1:7">
      <c r="A284">
        <v>283</v>
      </c>
      <c r="B284" t="s">
        <v>39</v>
      </c>
      <c r="C284">
        <v>1</v>
      </c>
      <c r="D284" s="1" t="str">
        <f>_xlfn.XLOOKUP(C284, Brands!A:A, Brands!B:B)</f>
        <v>Electra</v>
      </c>
      <c r="E284">
        <v>1</v>
      </c>
      <c r="F284">
        <v>2018</v>
      </c>
      <c r="G284" s="12">
        <v>319.99</v>
      </c>
    </row>
    <row r="285" spans="1:7">
      <c r="A285">
        <v>284</v>
      </c>
      <c r="B285" t="s">
        <v>40</v>
      </c>
      <c r="C285">
        <v>1</v>
      </c>
      <c r="D285" s="1" t="str">
        <f>_xlfn.XLOOKUP(C285, Brands!A:A, Brands!B:B)</f>
        <v>Electra</v>
      </c>
      <c r="E285">
        <v>1</v>
      </c>
      <c r="F285">
        <v>2018</v>
      </c>
      <c r="G285" s="12">
        <v>319.99</v>
      </c>
    </row>
    <row r="286" spans="1:7">
      <c r="A286">
        <v>285</v>
      </c>
      <c r="B286" t="s">
        <v>41</v>
      </c>
      <c r="C286">
        <v>1</v>
      </c>
      <c r="D286" s="1" t="str">
        <f>_xlfn.XLOOKUP(C286, Brands!A:A, Brands!B:B)</f>
        <v>Electra</v>
      </c>
      <c r="E286">
        <v>1</v>
      </c>
      <c r="F286">
        <v>2018</v>
      </c>
      <c r="G286" s="12">
        <v>279.99</v>
      </c>
    </row>
    <row r="287" spans="1:7">
      <c r="A287">
        <v>286</v>
      </c>
      <c r="B287" t="s">
        <v>269</v>
      </c>
      <c r="C287">
        <v>1</v>
      </c>
      <c r="D287" s="1" t="str">
        <f>_xlfn.XLOOKUP(C287, Brands!A:A, Brands!B:B)</f>
        <v>Electra</v>
      </c>
      <c r="E287">
        <v>1</v>
      </c>
      <c r="F287">
        <v>2018</v>
      </c>
      <c r="G287" s="12">
        <v>279.99</v>
      </c>
    </row>
    <row r="288" spans="1:7">
      <c r="A288">
        <v>287</v>
      </c>
      <c r="B288" t="s">
        <v>42</v>
      </c>
      <c r="C288">
        <v>1</v>
      </c>
      <c r="D288" s="1" t="str">
        <f>_xlfn.XLOOKUP(C288, Brands!A:A, Brands!B:B)</f>
        <v>Electra</v>
      </c>
      <c r="E288">
        <v>1</v>
      </c>
      <c r="F288">
        <v>2018</v>
      </c>
      <c r="G288" s="12">
        <v>279.99</v>
      </c>
    </row>
    <row r="289" spans="1:7">
      <c r="A289">
        <v>288</v>
      </c>
      <c r="B289" t="s">
        <v>43</v>
      </c>
      <c r="C289">
        <v>1</v>
      </c>
      <c r="D289" s="1" t="str">
        <f>_xlfn.XLOOKUP(C289, Brands!A:A, Brands!B:B)</f>
        <v>Electra</v>
      </c>
      <c r="E289">
        <v>1</v>
      </c>
      <c r="F289">
        <v>2018</v>
      </c>
      <c r="G289" s="12">
        <v>389.99</v>
      </c>
    </row>
    <row r="290" spans="1:7">
      <c r="A290">
        <v>289</v>
      </c>
      <c r="B290" t="s">
        <v>270</v>
      </c>
      <c r="C290">
        <v>1</v>
      </c>
      <c r="D290" s="1" t="str">
        <f>_xlfn.XLOOKUP(C290, Brands!A:A, Brands!B:B)</f>
        <v>Electra</v>
      </c>
      <c r="E290">
        <v>1</v>
      </c>
      <c r="F290">
        <v>2018</v>
      </c>
      <c r="G290" s="12">
        <v>319.99</v>
      </c>
    </row>
    <row r="291" spans="1:7">
      <c r="A291">
        <v>290</v>
      </c>
      <c r="B291" t="s">
        <v>271</v>
      </c>
      <c r="C291">
        <v>1</v>
      </c>
      <c r="D291" s="1" t="str">
        <f>_xlfn.XLOOKUP(C291, Brands!A:A, Brands!B:B)</f>
        <v>Electra</v>
      </c>
      <c r="E291">
        <v>1</v>
      </c>
      <c r="F291">
        <v>2018</v>
      </c>
      <c r="G291" s="12">
        <v>369.99</v>
      </c>
    </row>
    <row r="292" spans="1:7">
      <c r="A292">
        <v>291</v>
      </c>
      <c r="B292" t="s">
        <v>44</v>
      </c>
      <c r="C292">
        <v>1</v>
      </c>
      <c r="D292" s="1" t="str">
        <f>_xlfn.XLOOKUP(C292, Brands!A:A, Brands!B:B)</f>
        <v>Electra</v>
      </c>
      <c r="E292">
        <v>1</v>
      </c>
      <c r="F292">
        <v>2018</v>
      </c>
      <c r="G292" s="12">
        <v>319.99</v>
      </c>
    </row>
    <row r="293" spans="1:7">
      <c r="A293">
        <v>292</v>
      </c>
      <c r="B293" t="s">
        <v>45</v>
      </c>
      <c r="C293">
        <v>1</v>
      </c>
      <c r="D293" s="1" t="str">
        <f>_xlfn.XLOOKUP(C293, Brands!A:A, Brands!B:B)</f>
        <v>Electra</v>
      </c>
      <c r="E293">
        <v>1</v>
      </c>
      <c r="F293">
        <v>2018</v>
      </c>
      <c r="G293" s="12">
        <v>369.99</v>
      </c>
    </row>
    <row r="294" spans="1:7">
      <c r="A294">
        <v>293</v>
      </c>
      <c r="B294" t="s">
        <v>46</v>
      </c>
      <c r="C294">
        <v>1</v>
      </c>
      <c r="D294" s="1" t="str">
        <f>_xlfn.XLOOKUP(C294, Brands!A:A, Brands!B:B)</f>
        <v>Electra</v>
      </c>
      <c r="E294">
        <v>1</v>
      </c>
      <c r="F294">
        <v>2018</v>
      </c>
      <c r="G294" s="12">
        <v>319.99</v>
      </c>
    </row>
    <row r="295" spans="1:7">
      <c r="A295">
        <v>294</v>
      </c>
      <c r="B295" t="s">
        <v>47</v>
      </c>
      <c r="C295">
        <v>1</v>
      </c>
      <c r="D295" s="1" t="str">
        <f>_xlfn.XLOOKUP(C295, Brands!A:A, Brands!B:B)</f>
        <v>Electra</v>
      </c>
      <c r="E295">
        <v>1</v>
      </c>
      <c r="F295">
        <v>2018</v>
      </c>
      <c r="G295" s="12">
        <v>369.99</v>
      </c>
    </row>
    <row r="296" spans="1:7">
      <c r="A296">
        <v>295</v>
      </c>
      <c r="B296" t="s">
        <v>272</v>
      </c>
      <c r="C296">
        <v>1</v>
      </c>
      <c r="D296" s="1" t="str">
        <f>_xlfn.XLOOKUP(C296, Brands!A:A, Brands!B:B)</f>
        <v>Electra</v>
      </c>
      <c r="E296">
        <v>1</v>
      </c>
      <c r="F296">
        <v>2018</v>
      </c>
      <c r="G296" s="12">
        <v>319.99</v>
      </c>
    </row>
    <row r="297" spans="1:7">
      <c r="A297">
        <v>296</v>
      </c>
      <c r="B297" t="s">
        <v>273</v>
      </c>
      <c r="C297">
        <v>1</v>
      </c>
      <c r="D297" s="1" t="str">
        <f>_xlfn.XLOOKUP(C297, Brands!A:A, Brands!B:B)</f>
        <v>Electra</v>
      </c>
      <c r="E297">
        <v>1</v>
      </c>
      <c r="F297">
        <v>2018</v>
      </c>
      <c r="G297" s="12">
        <v>369.99</v>
      </c>
    </row>
    <row r="298" spans="1:7">
      <c r="A298">
        <v>297</v>
      </c>
      <c r="B298" t="s">
        <v>48</v>
      </c>
      <c r="C298">
        <v>1</v>
      </c>
      <c r="D298" s="1" t="str">
        <f>_xlfn.XLOOKUP(C298, Brands!A:A, Brands!B:B)</f>
        <v>Electra</v>
      </c>
      <c r="E298">
        <v>1</v>
      </c>
      <c r="F298">
        <v>2018</v>
      </c>
      <c r="G298" s="12">
        <v>279.99</v>
      </c>
    </row>
    <row r="299" spans="1:7">
      <c r="A299">
        <v>298</v>
      </c>
      <c r="B299" t="s">
        <v>49</v>
      </c>
      <c r="C299">
        <v>1</v>
      </c>
      <c r="D299" s="1" t="str">
        <f>_xlfn.XLOOKUP(C299, Brands!A:A, Brands!B:B)</f>
        <v>Electra</v>
      </c>
      <c r="E299">
        <v>1</v>
      </c>
      <c r="F299">
        <v>2018</v>
      </c>
      <c r="G299" s="12">
        <v>279.99</v>
      </c>
    </row>
    <row r="300" spans="1:7">
      <c r="A300">
        <v>299</v>
      </c>
      <c r="B300" t="s">
        <v>61</v>
      </c>
      <c r="C300">
        <v>1</v>
      </c>
      <c r="D300" s="1" t="str">
        <f>_xlfn.XLOOKUP(C300, Brands!A:A, Brands!B:B)</f>
        <v>Electra</v>
      </c>
      <c r="E300">
        <v>2</v>
      </c>
      <c r="F300">
        <v>2018</v>
      </c>
      <c r="G300" s="12">
        <v>559.99</v>
      </c>
    </row>
    <row r="301" spans="1:7">
      <c r="A301">
        <v>300</v>
      </c>
      <c r="B301" t="s">
        <v>254</v>
      </c>
      <c r="C301">
        <v>1</v>
      </c>
      <c r="D301" s="1" t="str">
        <f>_xlfn.XLOOKUP(C301, Brands!A:A, Brands!B:B)</f>
        <v>Electra</v>
      </c>
      <c r="E301">
        <v>2</v>
      </c>
      <c r="F301">
        <v>2018</v>
      </c>
      <c r="G301" s="12">
        <v>799.99</v>
      </c>
    </row>
    <row r="302" spans="1:7">
      <c r="A302">
        <v>301</v>
      </c>
      <c r="B302" t="s">
        <v>255</v>
      </c>
      <c r="C302">
        <v>1</v>
      </c>
      <c r="D302" s="1" t="str">
        <f>_xlfn.XLOOKUP(C302, Brands!A:A, Brands!B:B)</f>
        <v>Electra</v>
      </c>
      <c r="E302">
        <v>2</v>
      </c>
      <c r="F302">
        <v>2018</v>
      </c>
      <c r="G302" s="12">
        <v>899.99</v>
      </c>
    </row>
    <row r="303" spans="1:7">
      <c r="A303">
        <v>302</v>
      </c>
      <c r="B303" t="s">
        <v>274</v>
      </c>
      <c r="C303">
        <v>1</v>
      </c>
      <c r="D303" s="1" t="str">
        <f>_xlfn.XLOOKUP(C303, Brands!A:A, Brands!B:B)</f>
        <v>Electra</v>
      </c>
      <c r="E303">
        <v>2</v>
      </c>
      <c r="F303">
        <v>2018</v>
      </c>
      <c r="G303" s="12">
        <v>449.99</v>
      </c>
    </row>
    <row r="304" spans="1:7">
      <c r="A304">
        <v>303</v>
      </c>
      <c r="B304" t="s">
        <v>196</v>
      </c>
      <c r="C304">
        <v>1</v>
      </c>
      <c r="D304" s="1" t="str">
        <f>_xlfn.XLOOKUP(C304, Brands!A:A, Brands!B:B)</f>
        <v>Electra</v>
      </c>
      <c r="E304">
        <v>2</v>
      </c>
      <c r="F304">
        <v>2018</v>
      </c>
      <c r="G304" s="12">
        <v>2599.9899999999998</v>
      </c>
    </row>
    <row r="305" spans="1:7">
      <c r="A305">
        <v>304</v>
      </c>
      <c r="B305" t="s">
        <v>227</v>
      </c>
      <c r="C305">
        <v>1</v>
      </c>
      <c r="D305" s="1" t="str">
        <f>_xlfn.XLOOKUP(C305, Brands!A:A, Brands!B:B)</f>
        <v>Electra</v>
      </c>
      <c r="E305">
        <v>2</v>
      </c>
      <c r="F305">
        <v>2018</v>
      </c>
      <c r="G305" s="12">
        <v>679.99</v>
      </c>
    </row>
    <row r="306" spans="1:7">
      <c r="A306">
        <v>305</v>
      </c>
      <c r="B306" t="s">
        <v>248</v>
      </c>
      <c r="C306">
        <v>1</v>
      </c>
      <c r="D306" s="1" t="str">
        <f>_xlfn.XLOOKUP(C306, Brands!A:A, Brands!B:B)</f>
        <v>Electra</v>
      </c>
      <c r="E306">
        <v>2</v>
      </c>
      <c r="F306">
        <v>2018</v>
      </c>
      <c r="G306" s="12">
        <v>749.99</v>
      </c>
    </row>
    <row r="307" spans="1:7">
      <c r="A307">
        <v>306</v>
      </c>
      <c r="B307" t="s">
        <v>249</v>
      </c>
      <c r="C307">
        <v>1</v>
      </c>
      <c r="D307" s="1" t="str">
        <f>_xlfn.XLOOKUP(C307, Brands!A:A, Brands!B:B)</f>
        <v>Electra</v>
      </c>
      <c r="E307">
        <v>2</v>
      </c>
      <c r="F307">
        <v>2018</v>
      </c>
      <c r="G307" s="12">
        <v>899.99</v>
      </c>
    </row>
    <row r="308" spans="1:7">
      <c r="A308">
        <v>307</v>
      </c>
      <c r="B308" t="s">
        <v>237</v>
      </c>
      <c r="C308">
        <v>1</v>
      </c>
      <c r="D308" s="1" t="str">
        <f>_xlfn.XLOOKUP(C308, Brands!A:A, Brands!B:B)</f>
        <v>Electra</v>
      </c>
      <c r="E308">
        <v>2</v>
      </c>
      <c r="F308">
        <v>2018</v>
      </c>
      <c r="G308" s="12">
        <v>749.99</v>
      </c>
    </row>
    <row r="309" spans="1:7">
      <c r="A309">
        <v>308</v>
      </c>
      <c r="B309" t="s">
        <v>238</v>
      </c>
      <c r="C309">
        <v>1</v>
      </c>
      <c r="D309" s="1" t="str">
        <f>_xlfn.XLOOKUP(C309, Brands!A:A, Brands!B:B)</f>
        <v>Electra</v>
      </c>
      <c r="E309">
        <v>2</v>
      </c>
      <c r="F309">
        <v>2018</v>
      </c>
      <c r="G309" s="12">
        <v>749.99</v>
      </c>
    </row>
    <row r="310" spans="1:7">
      <c r="A310">
        <v>309</v>
      </c>
      <c r="B310" t="s">
        <v>250</v>
      </c>
      <c r="C310">
        <v>1</v>
      </c>
      <c r="D310" s="1" t="str">
        <f>_xlfn.XLOOKUP(C310, Brands!A:A, Brands!B:B)</f>
        <v>Electra</v>
      </c>
      <c r="E310">
        <v>2</v>
      </c>
      <c r="F310">
        <v>2018</v>
      </c>
      <c r="G310" s="12">
        <v>899.99</v>
      </c>
    </row>
    <row r="311" spans="1:7">
      <c r="A311">
        <v>310</v>
      </c>
      <c r="B311" t="s">
        <v>239</v>
      </c>
      <c r="C311">
        <v>1</v>
      </c>
      <c r="D311" s="1" t="str">
        <f>_xlfn.XLOOKUP(C311, Brands!A:A, Brands!B:B)</f>
        <v>Electra</v>
      </c>
      <c r="E311">
        <v>2</v>
      </c>
      <c r="F311">
        <v>2018</v>
      </c>
      <c r="G311" s="12">
        <v>899.99</v>
      </c>
    </row>
    <row r="312" spans="1:7">
      <c r="A312">
        <v>311</v>
      </c>
      <c r="B312" t="s">
        <v>240</v>
      </c>
      <c r="C312">
        <v>1</v>
      </c>
      <c r="D312" s="1" t="str">
        <f>_xlfn.XLOOKUP(C312, Brands!A:A, Brands!B:B)</f>
        <v>Electra</v>
      </c>
      <c r="E312">
        <v>2</v>
      </c>
      <c r="F312">
        <v>2018</v>
      </c>
      <c r="G312" s="12">
        <v>749.99</v>
      </c>
    </row>
    <row r="313" spans="1:7">
      <c r="A313">
        <v>312</v>
      </c>
      <c r="B313" t="s">
        <v>241</v>
      </c>
      <c r="C313">
        <v>1</v>
      </c>
      <c r="D313" s="1" t="str">
        <f>_xlfn.XLOOKUP(C313, Brands!A:A, Brands!B:B)</f>
        <v>Electra</v>
      </c>
      <c r="E313">
        <v>2</v>
      </c>
      <c r="F313">
        <v>2018</v>
      </c>
      <c r="G313" s="12">
        <v>699.99</v>
      </c>
    </row>
    <row r="314" spans="1:7">
      <c r="A314">
        <v>313</v>
      </c>
      <c r="B314" t="s">
        <v>275</v>
      </c>
      <c r="C314">
        <v>1</v>
      </c>
      <c r="D314" s="1" t="str">
        <f>_xlfn.XLOOKUP(C314, Brands!A:A, Brands!B:B)</f>
        <v>Electra</v>
      </c>
      <c r="E314">
        <v>2</v>
      </c>
      <c r="F314">
        <v>2018</v>
      </c>
      <c r="G314" s="12">
        <v>449.99</v>
      </c>
    </row>
    <row r="315" spans="1:7">
      <c r="A315">
        <v>314</v>
      </c>
      <c r="B315" t="s">
        <v>242</v>
      </c>
      <c r="C315">
        <v>1</v>
      </c>
      <c r="D315" s="1" t="str">
        <f>_xlfn.XLOOKUP(C315, Brands!A:A, Brands!B:B)</f>
        <v>Electra</v>
      </c>
      <c r="E315">
        <v>2</v>
      </c>
      <c r="F315">
        <v>2018</v>
      </c>
      <c r="G315" s="12">
        <v>679.99</v>
      </c>
    </row>
    <row r="316" spans="1:7">
      <c r="A316">
        <v>315</v>
      </c>
      <c r="B316" t="s">
        <v>243</v>
      </c>
      <c r="C316">
        <v>1</v>
      </c>
      <c r="D316" s="1" t="str">
        <f>_xlfn.XLOOKUP(C316, Brands!A:A, Brands!B:B)</f>
        <v>Electra</v>
      </c>
      <c r="E316">
        <v>2</v>
      </c>
      <c r="F316">
        <v>2018</v>
      </c>
      <c r="G316" s="12">
        <v>559.99</v>
      </c>
    </row>
    <row r="317" spans="1:7">
      <c r="A317">
        <v>316</v>
      </c>
      <c r="B317" t="s">
        <v>276</v>
      </c>
      <c r="C317">
        <v>9</v>
      </c>
      <c r="D317" s="1" t="str">
        <f>_xlfn.XLOOKUP(C317, Brands!A:A, Brands!B:B)</f>
        <v>Trek</v>
      </c>
      <c r="E317">
        <v>7</v>
      </c>
      <c r="F317">
        <v>2019</v>
      </c>
      <c r="G317" s="12">
        <v>1699.99</v>
      </c>
    </row>
    <row r="318" spans="1:7">
      <c r="A318">
        <v>317</v>
      </c>
      <c r="B318" t="s">
        <v>277</v>
      </c>
      <c r="C318">
        <v>9</v>
      </c>
      <c r="D318" s="1" t="str">
        <f>_xlfn.XLOOKUP(C318, Brands!A:A, Brands!B:B)</f>
        <v>Trek</v>
      </c>
      <c r="E318">
        <v>7</v>
      </c>
      <c r="F318">
        <v>2019</v>
      </c>
      <c r="G318" s="12">
        <v>1999.99</v>
      </c>
    </row>
    <row r="319" spans="1:7">
      <c r="A319">
        <v>318</v>
      </c>
      <c r="B319" t="s">
        <v>278</v>
      </c>
      <c r="C319">
        <v>9</v>
      </c>
      <c r="D319" s="1" t="str">
        <f>_xlfn.XLOOKUP(C319, Brands!A:A, Brands!B:B)</f>
        <v>Trek</v>
      </c>
      <c r="E319">
        <v>7</v>
      </c>
      <c r="F319">
        <v>2019</v>
      </c>
      <c r="G319" s="12">
        <v>1999.99</v>
      </c>
    </row>
    <row r="320" spans="1:7">
      <c r="A320">
        <v>319</v>
      </c>
      <c r="B320" t="s">
        <v>279</v>
      </c>
      <c r="C320">
        <v>9</v>
      </c>
      <c r="D320" s="1" t="str">
        <f>_xlfn.XLOOKUP(C320, Brands!A:A, Brands!B:B)</f>
        <v>Trek</v>
      </c>
      <c r="E320">
        <v>7</v>
      </c>
      <c r="F320">
        <v>2019</v>
      </c>
      <c r="G320" s="12">
        <v>2799.99</v>
      </c>
    </row>
    <row r="321" spans="1:7">
      <c r="A321">
        <v>320</v>
      </c>
      <c r="B321" t="s">
        <v>280</v>
      </c>
      <c r="C321">
        <v>9</v>
      </c>
      <c r="D321" s="1" t="str">
        <f>_xlfn.XLOOKUP(C321, Brands!A:A, Brands!B:B)</f>
        <v>Trek</v>
      </c>
      <c r="E321">
        <v>7</v>
      </c>
      <c r="F321">
        <v>2019</v>
      </c>
      <c r="G321" s="12">
        <v>3799.99</v>
      </c>
    </row>
    <row r="322" spans="1:7">
      <c r="A322">
        <v>321</v>
      </c>
      <c r="B322" t="s">
        <v>281</v>
      </c>
      <c r="C322">
        <v>9</v>
      </c>
      <c r="D322" s="1" t="str">
        <f>_xlfn.XLOOKUP(C322, Brands!A:A, Brands!B:B)</f>
        <v>Trek</v>
      </c>
      <c r="E322">
        <v>7</v>
      </c>
      <c r="F322">
        <v>2019</v>
      </c>
      <c r="G322" s="12">
        <v>3199.99</v>
      </c>
    </row>
  </sheetData>
  <autoFilter ref="A1:G322" xr:uid="{96BCB7EC-C25A-4B79-9238-BAC1FC5A77CD}"/>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1323-1B6A-4D34-A5DB-EEAE79F6D013}">
  <dimension ref="A1:B10"/>
  <sheetViews>
    <sheetView workbookViewId="0">
      <selection sqref="A1:B10"/>
    </sheetView>
  </sheetViews>
  <sheetFormatPr defaultRowHeight="15"/>
  <cols>
    <col min="2" max="2" width="12.140625" bestFit="1" customWidth="1"/>
  </cols>
  <sheetData>
    <row r="1" spans="1:2">
      <c r="A1" t="s">
        <v>2</v>
      </c>
      <c r="B1" t="s">
        <v>6</v>
      </c>
    </row>
    <row r="2" spans="1:2">
      <c r="A2">
        <v>1</v>
      </c>
      <c r="B2" t="s">
        <v>7</v>
      </c>
    </row>
    <row r="3" spans="1:2">
      <c r="A3">
        <v>2</v>
      </c>
      <c r="B3" t="s">
        <v>8</v>
      </c>
    </row>
    <row r="4" spans="1:2">
      <c r="A4">
        <v>3</v>
      </c>
      <c r="B4" t="s">
        <v>9</v>
      </c>
    </row>
    <row r="5" spans="1:2">
      <c r="A5">
        <v>4</v>
      </c>
      <c r="B5" t="s">
        <v>10</v>
      </c>
    </row>
    <row r="6" spans="1:2">
      <c r="A6">
        <v>5</v>
      </c>
      <c r="B6" t="s">
        <v>11</v>
      </c>
    </row>
    <row r="7" spans="1:2">
      <c r="A7">
        <v>6</v>
      </c>
      <c r="B7" t="s">
        <v>12</v>
      </c>
    </row>
    <row r="8" spans="1:2">
      <c r="A8">
        <v>7</v>
      </c>
      <c r="B8" t="s">
        <v>13</v>
      </c>
    </row>
    <row r="9" spans="1:2">
      <c r="A9">
        <v>8</v>
      </c>
      <c r="B9" t="s">
        <v>14</v>
      </c>
    </row>
    <row r="10" spans="1:2">
      <c r="A10">
        <v>9</v>
      </c>
      <c r="B10"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3B6F-EC4E-488F-A779-07C349E7849B}">
  <dimension ref="A1:F6"/>
  <sheetViews>
    <sheetView tabSelected="1" workbookViewId="0">
      <selection activeCell="A3" sqref="A3"/>
    </sheetView>
  </sheetViews>
  <sheetFormatPr defaultRowHeight="15"/>
  <cols>
    <col min="1" max="1" width="30" customWidth="1"/>
    <col min="2" max="2" width="9.5703125" bestFit="1" customWidth="1"/>
    <col min="4" max="4" width="12.5703125" customWidth="1"/>
    <col min="5" max="5" width="10.7109375" bestFit="1" customWidth="1"/>
  </cols>
  <sheetData>
    <row r="1" spans="1:6" ht="21">
      <c r="A1" s="14" t="s">
        <v>286</v>
      </c>
      <c r="B1" s="14"/>
      <c r="C1" s="14"/>
      <c r="D1" s="14"/>
    </row>
    <row r="2" spans="1:6">
      <c r="A2" s="4" t="s">
        <v>285</v>
      </c>
      <c r="B2" s="4" t="s">
        <v>282</v>
      </c>
      <c r="C2" s="4" t="s">
        <v>283</v>
      </c>
      <c r="D2" s="4" t="s">
        <v>284</v>
      </c>
    </row>
    <row r="3" spans="1:6">
      <c r="A3" s="15"/>
      <c r="B3" s="13" t="str">
        <f>IFERROR(VLOOKUP(A3, Products!B:G, 6, FALSE), "")</f>
        <v/>
      </c>
      <c r="C3" s="4" t="str">
        <f>IFERROR(VLOOKUP(A3, Products!B:G, 3, FALSE), "")</f>
        <v/>
      </c>
      <c r="D3" s="4" t="str">
        <f>IFERROR(VLOOKUP(A3, Products!B:G, 5, FALSE), "")</f>
        <v/>
      </c>
      <c r="E3" s="2"/>
      <c r="F3" s="1"/>
    </row>
    <row r="5" spans="1:6">
      <c r="A5" s="7" t="s">
        <v>287</v>
      </c>
      <c r="B5" s="4">
        <v>2</v>
      </c>
      <c r="E5" s="5"/>
    </row>
    <row r="6" spans="1:6">
      <c r="A6" s="4" t="s">
        <v>288</v>
      </c>
      <c r="B6" s="8">
        <f>IFERROR(B3 * B5, 0)</f>
        <v>0</v>
      </c>
    </row>
  </sheetData>
  <sheetProtection sheet="1" objects="1" scenarios="1"/>
  <mergeCells count="1">
    <mergeCell ref="A1:D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D6D21B9-8930-44B7-A49A-FD360F1673C3}">
          <x14:formula1>
            <xm:f>Products!$B$2:$B$322</xm:f>
          </x14:formula1>
          <xm:sqref>A3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8044-E60A-4B7F-89F1-05E6EA67E88C}">
  <dimension ref="A1:B23"/>
  <sheetViews>
    <sheetView showGridLines="0" workbookViewId="0">
      <selection activeCell="L14" sqref="L14"/>
    </sheetView>
  </sheetViews>
  <sheetFormatPr defaultRowHeight="15"/>
  <cols>
    <col min="1" max="1" width="13.140625" bestFit="1" customWidth="1"/>
    <col min="2" max="2" width="19.42578125" bestFit="1" customWidth="1"/>
  </cols>
  <sheetData>
    <row r="1" spans="1:2">
      <c r="A1" s="9" t="s">
        <v>289</v>
      </c>
      <c r="B1" t="s">
        <v>291</v>
      </c>
    </row>
    <row r="2" spans="1:2">
      <c r="A2" s="10" t="s">
        <v>15</v>
      </c>
      <c r="B2" s="11">
        <v>135</v>
      </c>
    </row>
    <row r="3" spans="1:2">
      <c r="A3" s="10" t="s">
        <v>7</v>
      </c>
      <c r="B3" s="11">
        <v>118</v>
      </c>
    </row>
    <row r="4" spans="1:2">
      <c r="A4" s="10" t="s">
        <v>14</v>
      </c>
      <c r="B4" s="11">
        <v>25</v>
      </c>
    </row>
    <row r="5" spans="1:2">
      <c r="A5" s="10" t="s">
        <v>13</v>
      </c>
      <c r="B5" s="11">
        <v>23</v>
      </c>
    </row>
    <row r="6" spans="1:2">
      <c r="A6" s="10" t="s">
        <v>8</v>
      </c>
      <c r="B6" s="11">
        <v>10</v>
      </c>
    </row>
    <row r="7" spans="1:2">
      <c r="A7" s="10" t="s">
        <v>12</v>
      </c>
      <c r="B7" s="11">
        <v>3</v>
      </c>
    </row>
    <row r="8" spans="1:2">
      <c r="A8" s="10" t="s">
        <v>9</v>
      </c>
      <c r="B8" s="11">
        <v>3</v>
      </c>
    </row>
    <row r="9" spans="1:2">
      <c r="A9" s="10" t="s">
        <v>10</v>
      </c>
      <c r="B9" s="11">
        <v>3</v>
      </c>
    </row>
    <row r="10" spans="1:2">
      <c r="A10" s="10" t="s">
        <v>11</v>
      </c>
      <c r="B10" s="11">
        <v>1</v>
      </c>
    </row>
    <row r="11" spans="1:2">
      <c r="A11" s="10" t="s">
        <v>290</v>
      </c>
      <c r="B11" s="11">
        <v>321</v>
      </c>
    </row>
    <row r="13" spans="1:2">
      <c r="A13" s="9" t="s">
        <v>289</v>
      </c>
      <c r="B13" t="s">
        <v>292</v>
      </c>
    </row>
    <row r="14" spans="1:2">
      <c r="A14" s="10" t="s">
        <v>15</v>
      </c>
      <c r="B14" s="6">
        <v>2500.0640740740705</v>
      </c>
    </row>
    <row r="15" spans="1:2">
      <c r="A15" s="10" t="s">
        <v>9</v>
      </c>
      <c r="B15" s="6">
        <v>2172.9966666666664</v>
      </c>
    </row>
    <row r="16" spans="1:2">
      <c r="A16" s="10" t="s">
        <v>14</v>
      </c>
      <c r="B16" s="6">
        <v>1331.7536000000002</v>
      </c>
    </row>
    <row r="17" spans="1:2">
      <c r="A17" s="10" t="s">
        <v>7</v>
      </c>
      <c r="B17" s="6">
        <v>761.00618644067902</v>
      </c>
    </row>
    <row r="18" spans="1:2">
      <c r="A18" s="10" t="s">
        <v>11</v>
      </c>
      <c r="B18" s="6">
        <v>749.99</v>
      </c>
    </row>
    <row r="19" spans="1:2">
      <c r="A19" s="10" t="s">
        <v>8</v>
      </c>
      <c r="B19" s="6">
        <v>621.9899999999999</v>
      </c>
    </row>
    <row r="20" spans="1:2">
      <c r="A20" s="10" t="s">
        <v>13</v>
      </c>
      <c r="B20" s="6">
        <v>524.46826086956503</v>
      </c>
    </row>
    <row r="21" spans="1:2">
      <c r="A21" s="10" t="s">
        <v>10</v>
      </c>
      <c r="B21" s="6">
        <v>442.33333333333331</v>
      </c>
    </row>
    <row r="22" spans="1:2">
      <c r="A22" s="10" t="s">
        <v>12</v>
      </c>
      <c r="B22" s="6">
        <v>209.99</v>
      </c>
    </row>
    <row r="23" spans="1:2">
      <c r="A23" s="10" t="s">
        <v>290</v>
      </c>
      <c r="B23" s="6">
        <v>1520.591401869156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Brands</vt:lpstr>
      <vt:lpstr>Search_Tool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Calvin D Immanuel</dc:creator>
  <cp:lastModifiedBy>Calvin D Immanuel</cp:lastModifiedBy>
  <dcterms:created xsi:type="dcterms:W3CDTF">2025-12-07T16:30:48Z</dcterms:created>
  <dcterms:modified xsi:type="dcterms:W3CDTF">2025-12-09T08:34:54Z</dcterms:modified>
</cp:coreProperties>
</file>